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55EB58EB4B7023/Documents/"/>
    </mc:Choice>
  </mc:AlternateContent>
  <xr:revisionPtr revIDLastSave="864" documentId="8_{236C07CD-9B57-4F38-A4B8-124557A6EFC0}" xr6:coauthVersionLast="47" xr6:coauthVersionMax="47" xr10:uidLastSave="{988D1953-F28A-41EE-992C-49277DF84F6E}"/>
  <bookViews>
    <workbookView xWindow="-108" yWindow="-108" windowWidth="23256" windowHeight="12456" xr2:uid="{DFDE176A-DF62-42A0-B65D-8896811B64F6}"/>
  </bookViews>
  <sheets>
    <sheet name="achievement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10" i="1" l="1"/>
</calcChain>
</file>

<file path=xl/sharedStrings.xml><?xml version="1.0" encoding="utf-8"?>
<sst xmlns="http://schemas.openxmlformats.org/spreadsheetml/2006/main" count="722" uniqueCount="523">
  <si>
    <r>
      <rPr>
        <sz val="20"/>
        <color theme="0"/>
        <rFont val="Risk of Rain"/>
      </rPr>
      <t>RISK OF RAIN</t>
    </r>
    <r>
      <rPr>
        <sz val="20"/>
        <color theme="1"/>
        <rFont val="Risk of Rain"/>
      </rPr>
      <t xml:space="preserve"> </t>
    </r>
    <r>
      <rPr>
        <sz val="20"/>
        <color rgb="FFFFFF99"/>
        <rFont val="Risk of Rain"/>
      </rPr>
      <t>2</t>
    </r>
    <r>
      <rPr>
        <sz val="20"/>
        <color theme="1"/>
        <rFont val="Risk of Rain"/>
      </rPr>
      <t xml:space="preserve"> ACHIEVEMENT TRACKER</t>
    </r>
  </si>
  <si>
    <t>SURVIVORS</t>
  </si>
  <si>
    <t>status</t>
  </si>
  <si>
    <t>challenge</t>
  </si>
  <si>
    <t>description</t>
  </si>
  <si>
    <t xml:space="preserve">                description</t>
  </si>
  <si>
    <t xml:space="preserve">  challenge</t>
  </si>
  <si>
    <t>unlocks</t>
  </si>
  <si>
    <t xml:space="preserve">    unlocks</t>
  </si>
  <si>
    <r>
      <t xml:space="preserve">     </t>
    </r>
    <r>
      <rPr>
        <sz val="11"/>
        <color theme="0"/>
        <rFont val="Biome"/>
        <family val="2"/>
      </rPr>
      <t>status</t>
    </r>
  </si>
  <si>
    <t>Acrid</t>
  </si>
  <si>
    <t>Artificer</t>
  </si>
  <si>
    <t>Bandit</t>
  </si>
  <si>
    <t>Beads of Fealty Mercenary</t>
  </si>
  <si>
    <t>Captain</t>
  </si>
  <si>
    <t>Chef</t>
  </si>
  <si>
    <t>Engineer</t>
  </si>
  <si>
    <t>False Son</t>
  </si>
  <si>
    <t>Loader</t>
  </si>
  <si>
    <t>MULT-T</t>
  </si>
  <si>
    <t>REX</t>
  </si>
  <si>
    <t>Void Fiend</t>
  </si>
  <si>
    <t>Stabilize the cell in the Void Fields.</t>
  </si>
  <si>
    <t>Escape the Planetarium or complete wave 50 in Simulacrum.</t>
  </si>
  <si>
    <t>Complete 30 stages.</t>
  </si>
  <si>
    <t>Free the survivor suspended in time.</t>
  </si>
  <si>
    <t>Reach and complete the 3rd Teleporter event without dying.</t>
  </si>
  <si>
    <t>Obliterate yourself at the Obelisk..</t>
  </si>
  <si>
    <t>Escape the moon.</t>
  </si>
  <si>
    <t>Complete the Wok’s recipe in Reformed Altar.</t>
  </si>
  <si>
    <t>Purify the Heart of the False Son using the Halcyon Seed.</t>
  </si>
  <si>
    <t>Defeat the unique guardian of Siren's Call.</t>
  </si>
  <si>
    <t>Complete the first Teleporter event 5 times.</t>
  </si>
  <si>
    <t>Repair the broken robot with an Escape Pod's Fuel Array.</t>
  </si>
  <si>
    <t>...To Be Left Alone</t>
  </si>
  <si>
    <t>Pause.</t>
  </si>
  <si>
    <t>Warrior</t>
  </si>
  <si>
    <t>True Respite</t>
  </si>
  <si>
    <t>Washed Away</t>
  </si>
  <si>
    <t>Order Up!</t>
  </si>
  <si>
    <t>Engineering Perfection</t>
  </si>
  <si>
    <t>Purified Freedom</t>
  </si>
  <si>
    <t>Guidance Offline</t>
  </si>
  <si>
    <t>Verified</t>
  </si>
  <si>
    <t>Power Plant</t>
  </si>
  <si>
    <t>Dragged Below</t>
  </si>
  <si>
    <t>To-Do</t>
  </si>
  <si>
    <t>Done</t>
  </si>
  <si>
    <t>Drifter</t>
  </si>
  <si>
    <t>Lost In Transit</t>
  </si>
  <si>
    <t>Free the survivor from the vault in Solutional Haunt</t>
  </si>
  <si>
    <t>ABILITIES</t>
  </si>
  <si>
    <t>Acrid: Bad Medicine</t>
  </si>
  <si>
    <t>Acrid: Easy Prey</t>
  </si>
  <si>
    <t>Acrid: Pandemic</t>
  </si>
  <si>
    <t>Artificer: Chunked!</t>
  </si>
  <si>
    <t>Artificer: Orbital Bombardment</t>
  </si>
  <si>
    <t>Bandit: B&amp;E</t>
  </si>
  <si>
    <t>Bandit: Classic Man</t>
  </si>
  <si>
    <t>Bandit: Sadist</t>
  </si>
  <si>
    <t>Artificer: Massacre</t>
  </si>
  <si>
    <t>Ravenous Bite</t>
  </si>
  <si>
    <t>Blight</t>
  </si>
  <si>
    <t>Frenzied Leap</t>
  </si>
  <si>
    <t>Cast Nano-Spear</t>
  </si>
  <si>
    <t>Ion Surge</t>
  </si>
  <si>
    <t>Desperado</t>
  </si>
  <si>
    <t>Blast</t>
  </si>
  <si>
    <t>Serrated Shiv</t>
  </si>
  <si>
    <t>As Acrid, land the final blow on a Scavenger.</t>
  </si>
  <si>
    <t>Plasma Bolt</t>
  </si>
  <si>
    <t>As Acrid, land the killing blow on 50 total enemies that have 1 hit point left.</t>
  </si>
  <si>
    <t>As Acrid, inflict Poison 1000 total times.</t>
  </si>
  <si>
    <t>As Artificer, fully defeat the teleporter boss in a one-second burst of damage.</t>
  </si>
  <si>
    <t>As Artificer, perform a multikill of 20 enemies.</t>
  </si>
  <si>
    <t>As Artificer, kill 15 enemies before touching the ground.</t>
  </si>
  <si>
    <t>As Bandit, kill the final boss with 'Lights Out'.</t>
  </si>
  <si>
    <t>As Bandit, successfully use 'Lights Out' to reset your cooldowns 15 times in a row.</t>
  </si>
  <si>
    <t>As Bandit, kill a monster with 20 stacks of Hemorrhage.</t>
  </si>
  <si>
    <t>Captain: Smushed</t>
  </si>
  <si>
    <t>Captain: Wanderlust</t>
  </si>
  <si>
    <t>Captain: Worth Every Penny</t>
  </si>
  <si>
    <t>CHEF: Barbecued Bison</t>
  </si>
  <si>
    <t>CHEF: You’ve Always Been Crazy</t>
  </si>
  <si>
    <t>CHEF: Its Getting Hot In Here!</t>
  </si>
  <si>
    <t>Commando: Godspeed</t>
  </si>
  <si>
    <t>Commando: Uncorruptible</t>
  </si>
  <si>
    <t>Commando: Rolling Thunder</t>
  </si>
  <si>
    <t>OGM-72 'DIABLO' Strike</t>
  </si>
  <si>
    <t>Beacon: Resupply</t>
  </si>
  <si>
    <t>Beacon: Hacking</t>
  </si>
  <si>
    <t>Yes, CHEF!</t>
  </si>
  <si>
    <t>Ice Box</t>
  </si>
  <si>
    <t>Oil Spill</t>
  </si>
  <si>
    <t>Tactical Slide</t>
  </si>
  <si>
    <t>Frag Grenade</t>
  </si>
  <si>
    <t>Phase Blast</t>
  </si>
  <si>
    <t>As Captain, kill the final boss using a Supply Beacon.</t>
  </si>
  <si>
    <t>As Captain, visit 10 different environments in a single run.</t>
  </si>
  <si>
    <t>As Captain, repair and recruit a TC-280 Prototype.</t>
  </si>
  <si>
    <t>As CHEF complete 10 recipes by searing an oiled bison with Sear.</t>
  </si>
  <si>
    <t>As CHEF apply 20 stacks of Burn at once to Mithrix.</t>
  </si>
  <si>
    <t>As CHEF hit five airborne enemies with one instance of Roll.</t>
  </si>
  <si>
    <t>As Commando, fully charge the first-stage teleporter before the timer hits 5 minutes.</t>
  </si>
  <si>
    <t>As Commando, clear 20 stages in a single run without picking up any Lunar items.</t>
  </si>
  <si>
    <t>As Commando, land the killing blow on an Overloading Worm.</t>
  </si>
  <si>
    <t>Drifter: Trash Compactor</t>
  </si>
  <si>
    <t>As Drifter, carry 20 temporary items.</t>
  </si>
  <si>
    <t>?</t>
  </si>
  <si>
    <t>Drifter: In The Bag</t>
  </si>
  <si>
    <t>Junk Cube</t>
  </si>
  <si>
    <t>As Drifter, defeat a boss from the challenge of the mountain by tossing a shrine of the mountain.</t>
  </si>
  <si>
    <t>Drifter: Leave No Trace</t>
  </si>
  <si>
    <t>As Drifter, claim the contents of the lost backpack in the vault of Solutional Haunt.</t>
  </si>
  <si>
    <t>Engineer: 100% Calculated</t>
  </si>
  <si>
    <t>Engineer: Better With Friends</t>
  </si>
  <si>
    <t>Engineer: Zero Sum</t>
  </si>
  <si>
    <t>False Son: Family Bonding</t>
  </si>
  <si>
    <t>False Son: Protein Heavy Diet</t>
  </si>
  <si>
    <t>False Son: Stare Them Down</t>
  </si>
  <si>
    <t>Huntress: Finishing Touch</t>
  </si>
  <si>
    <t>Huntress: One Shot, One Kill</t>
  </si>
  <si>
    <t>Huntress: Piercing Wind</t>
  </si>
  <si>
    <t>Spider Mines</t>
  </si>
  <si>
    <t>TR58 Carbonizer Turret</t>
  </si>
  <si>
    <t>Thermal Harpoons</t>
  </si>
  <si>
    <t>Meridians Will</t>
  </si>
  <si>
    <t>Lunar Stakes</t>
  </si>
  <si>
    <t>Laser Burst</t>
  </si>
  <si>
    <t>Flurry</t>
  </si>
  <si>
    <t>Phase Blink</t>
  </si>
  <si>
    <t>Ballista</t>
  </si>
  <si>
    <t>As Engineer, defeat the teleporter boss in less than 5 seconds after it spawns.</t>
  </si>
  <si>
    <t>As Engineer, recruit 12 minions at one time.</t>
  </si>
  <si>
    <t>As Engineer, finish charging the teleporter with zero monsters remaining on the stage.</t>
  </si>
  <si>
    <t>As False Son, have Aurelionite kill Mithrix while Mithrix is inflicted with at least one Lunar Ruin.</t>
  </si>
  <si>
    <t>As False Son, gain up to 40 Lunar Spikes through Growth.</t>
  </si>
  <si>
    <t>As False Son, kill 15 enemies with one activation of Laser of the Father.</t>
  </si>
  <si>
    <t>As Huntress, land a killing blow with every possible hit of a single glaive.</t>
  </si>
  <si>
    <t>As Huntress, collect and carry 12 Crowbars at once.</t>
  </si>
  <si>
    <t>As Huntress, start and finish either Rallypoint Delta or Scorched Acres without falling below 100% health.</t>
  </si>
  <si>
    <t>Loader: Earthshatter</t>
  </si>
  <si>
    <t>Loader: Wing By</t>
  </si>
  <si>
    <t>Loader: The Thunderstorm</t>
  </si>
  <si>
    <t>MULT-T: Gotcha!</t>
  </si>
  <si>
    <t>MULT-T: Pest Control</t>
  </si>
  <si>
    <t>MULT-T: Seventh Day</t>
  </si>
  <si>
    <t>Mercenary: Demon Of The Skies</t>
  </si>
  <si>
    <t>Mercenary: Etheral</t>
  </si>
  <si>
    <t>Mercenary: Flash Of Blades</t>
  </si>
  <si>
    <t>Thunder Gauntlet</t>
  </si>
  <si>
    <t>Spiked Fist</t>
  </si>
  <si>
    <t>Thunderslam</t>
  </si>
  <si>
    <t>Power-Saw</t>
  </si>
  <si>
    <t>Scrap Launcher</t>
  </si>
  <si>
    <t>Power Mode</t>
  </si>
  <si>
    <t>Rising Thunder</t>
  </si>
  <si>
    <t>Slicing Winds</t>
  </si>
  <si>
    <t>Focused Assault</t>
  </si>
  <si>
    <t>Operator: That All You Got?</t>
  </si>
  <si>
    <t>Operator: Not So Different</t>
  </si>
  <si>
    <t>Operator: That Just Happened</t>
  </si>
  <si>
    <t>Operator: Mastery</t>
  </si>
  <si>
    <t>Operator: Putting Together A Team</t>
  </si>
  <si>
    <t>As Operator, kill 4 different types of monsters with a single ricochet.</t>
  </si>
  <si>
    <t>As Operator, defeat the teleporter boss on Conduit Canyon without touching the ground.</t>
  </si>
  <si>
    <t>As Operator, keep an Elder Lemurian airborne for 10 seconds.</t>
  </si>
  <si>
    <t xml:space="preserve">As Operator, beat the game or obliterate on monsoon. </t>
  </si>
  <si>
    <t xml:space="preserve">As Operator, recruit 5 different drones. </t>
  </si>
  <si>
    <t>As Loader, land a Charged Gauntlet hit at 300mph or higher.</t>
  </si>
  <si>
    <t>As Loader, reach and proceed through the Celestial Portal in 25 minutes or less.</t>
  </si>
  <si>
    <t>As Loader, kill three other Loaders in the Bulwark's Ambry.</t>
  </si>
  <si>
    <t>As MUL-T, land the killing blow on an Imp Overlord with the Preon Accumulator.</t>
  </si>
  <si>
    <t>As MUL-T, defeat two Beetle Queens without leaving the teleporter zone.</t>
  </si>
  <si>
    <t>As MUL-T, clear the Void Fields on Stage 7 or later.</t>
  </si>
  <si>
    <t>As Mercenary, don't touch the ground for 30 seconds.</t>
  </si>
  <si>
    <t>As Mercenary, complete a Prismatic Trial without falling below 100% health.</t>
  </si>
  <si>
    <t>As Mercenary, use 20 abilities in 10 seconds.</t>
  </si>
  <si>
    <t>REX: Bushwhacked</t>
  </si>
  <si>
    <t>REX: Dunked</t>
  </si>
  <si>
    <t>REX: Full Of Life</t>
  </si>
  <si>
    <t>Railgunner: Annihilator</t>
  </si>
  <si>
    <t>Railgunner: Marksman</t>
  </si>
  <si>
    <t>Railgunner: Trickshot</t>
  </si>
  <si>
    <t>Seeker: Airborne Souls</t>
  </si>
  <si>
    <t>Seeker: Clear Mind</t>
  </si>
  <si>
    <t>Seeker: Scorched Earth</t>
  </si>
  <si>
    <t>DIRECTIVE: Drill</t>
  </si>
  <si>
    <t>Bramble Volley</t>
  </si>
  <si>
    <t>DIRECTIVE: Harvest</t>
  </si>
  <si>
    <t>Polar Field Device</t>
  </si>
  <si>
    <t>HH44 Marksman</t>
  </si>
  <si>
    <t>Cryocharge</t>
  </si>
  <si>
    <t>Soul Spiral</t>
  </si>
  <si>
    <t>Palm Blast</t>
  </si>
  <si>
    <t>Reprieve</t>
  </si>
  <si>
    <t>As REX, complete an entire teleporter event while under 50% health.</t>
  </si>
  <si>
    <t>As REX, kill a Clay Dunestrider on Abandoned Aqueduct by throwing it into a pit.</t>
  </si>
  <si>
    <t>As REX, heal for 1000 health at once.</t>
  </si>
  <si>
    <t>As Railgunner, deal 1,000,000 damage in one shot.</t>
  </si>
  <si>
    <t>As Railgunner, fire 30 consecutive sniper shots without missing a Weak Point.</t>
  </si>
  <si>
    <t>As Railgunner, get 3 kills with a single Supercharge shot while airborne.</t>
  </si>
  <si>
    <t>As Seeker, hit three or more airborne enemies with a single use of the exploding third hit of Spirit Punch.</t>
  </si>
  <si>
    <t>As Seeker, meditate 20 times without missing an input in a single run.</t>
  </si>
  <si>
    <t>Deal 500,000% damage with one use of Sojourn's explosion.</t>
  </si>
  <si>
    <t>SKINS</t>
  </si>
  <si>
    <t>Acrid: Cleared Prime Meridian</t>
  </si>
  <si>
    <t>As Acrid, complete the Event on Prime Meridian.</t>
  </si>
  <si>
    <t>Iguania</t>
  </si>
  <si>
    <t>Acrid: Mastery</t>
  </si>
  <si>
    <t>As Acrid, beat the game or obliterate on Monsoon.</t>
  </si>
  <si>
    <t>Albino</t>
  </si>
  <si>
    <t>Artificer: Cleared Prime Meridian</t>
  </si>
  <si>
    <t>As Artificer, complete the Event on Prime Meridian.</t>
  </si>
  <si>
    <t>Meridian</t>
  </si>
  <si>
    <t>Artificer: Mastery</t>
  </si>
  <si>
    <t>As Artificer, beat the game or obliterate on Monsoon.</t>
  </si>
  <si>
    <t>Chrome</t>
  </si>
  <si>
    <t>Bandit: Cleared Prime Meridian</t>
  </si>
  <si>
    <t>As Bandit, complete the Event on Prime Meridian.</t>
  </si>
  <si>
    <t>Outlaw</t>
  </si>
  <si>
    <t>Bandit: Mastery</t>
  </si>
  <si>
    <t>As Bandit, beat the game or obliterate on Monsoon.</t>
  </si>
  <si>
    <t>Chilly</t>
  </si>
  <si>
    <t>CHEF: Mastery</t>
  </si>
  <si>
    <t>As CHEF, beat the game or obliterate on Monsoon.</t>
  </si>
  <si>
    <t>PRES-10</t>
  </si>
  <si>
    <t>Captain: Cleared Prime Meridian</t>
  </si>
  <si>
    <t>As Captain, complete the Event on Prime Meridian.</t>
  </si>
  <si>
    <t>Colonel</t>
  </si>
  <si>
    <t>Captain: Mastery</t>
  </si>
  <si>
    <t>As Captain, beat the game or obliterate on Monsoon.</t>
  </si>
  <si>
    <t>Admiral</t>
  </si>
  <si>
    <t>Commando: Cleared Prime Meridian</t>
  </si>
  <si>
    <t>As Commando, complete the Event on Prime Meridian.</t>
  </si>
  <si>
    <t>Helot</t>
  </si>
  <si>
    <t>Commando: Mastery</t>
  </si>
  <si>
    <t>As Commando, beat the game or obliterate on Monsoon.</t>
  </si>
  <si>
    <t>Hornet</t>
  </si>
  <si>
    <t>Engineer: Cleared Prime Meridian</t>
  </si>
  <si>
    <t>As Engineer, complete the Event on Prime Meridian.</t>
  </si>
  <si>
    <t>HC Tech</t>
  </si>
  <si>
    <t>Engineer: Mastery</t>
  </si>
  <si>
    <t>As Engineer, beat the game or obliterate on Monsoon.</t>
  </si>
  <si>
    <t>EOD Tech</t>
  </si>
  <si>
    <t>False Son: Mastery</t>
  </si>
  <si>
    <t>As False Son, beat the game or obliterate on Monsoon.</t>
  </si>
  <si>
    <t>Unchained</t>
  </si>
  <si>
    <t>Huntress: Cleared Prime Meridian</t>
  </si>
  <si>
    <t>As Huntress, complete the Event on Prime Meridian.</t>
  </si>
  <si>
    <t>Woodland</t>
  </si>
  <si>
    <t>Huntress: Mastery</t>
  </si>
  <si>
    <t>As Huntress, beat the game or obliterate on Monsoon.</t>
  </si>
  <si>
    <t>Arctic</t>
  </si>
  <si>
    <t>Loader: Cleared Prime Meridian</t>
  </si>
  <si>
    <t>As Loader, complete the Event on Prime Meridian.</t>
  </si>
  <si>
    <t>Neoteric</t>
  </si>
  <si>
    <t>Loader: Mastery</t>
  </si>
  <si>
    <t>As Loader, beat the game or obliterate on Monsoon.</t>
  </si>
  <si>
    <t>Classic</t>
  </si>
  <si>
    <t>MUL-T: Cleared Prime Meridian</t>
  </si>
  <si>
    <t>As MUL-T, complete the Event on Prime Meridian.</t>
  </si>
  <si>
    <t>Sentry</t>
  </si>
  <si>
    <t>MUL-T: Mastery</t>
  </si>
  <si>
    <t>As MUL-T, beat the game or obliterate on Monsoon.</t>
  </si>
  <si>
    <t>Janitor</t>
  </si>
  <si>
    <t>Mercenary: Cleared Prime Meridian</t>
  </si>
  <si>
    <t>As Mercenary, complete the Event on Prime Meridian.</t>
  </si>
  <si>
    <t>Frail</t>
  </si>
  <si>
    <t>Mercenary: Mastery</t>
  </si>
  <si>
    <t>As Mercenary, beat the game or obliterate on Monsoon.</t>
  </si>
  <si>
    <t>Oni</t>
  </si>
  <si>
    <t>REX: Mastery</t>
  </si>
  <si>
    <t>As REX, beat the game or obliterate on Monsoon.</t>
  </si>
  <si>
    <t>Smoothie</t>
  </si>
  <si>
    <t>Railgunner: Cleared Prime Meridian</t>
  </si>
  <si>
    <t>As Railgunner, complete the Event on Prime Meridian.</t>
  </si>
  <si>
    <t>Deadeye</t>
  </si>
  <si>
    <t>Railgunner: Mastery</t>
  </si>
  <si>
    <t>As Railgunner, beat the game or obliterate on Monsoon.</t>
  </si>
  <si>
    <t>Marksman</t>
  </si>
  <si>
    <t>Seeker: Mastery</t>
  </si>
  <si>
    <t>As Seeker, beat the game or obliterate on Monsoon.</t>
  </si>
  <si>
    <t>Beyond</t>
  </si>
  <si>
    <t>Void Fiend: Cleared Prime Meridian</t>
  </si>
  <si>
    <t>As Void Fiend, complete the Event on Prime Meridian.</t>
  </si>
  <si>
    <t>Sanctified</t>
  </si>
  <si>
    <t>Void Fiend: Mastery</t>
  </si>
  <si>
    <t>As Void Fiend, beat the game or obliterate on Monsoon.</t>
  </si>
  <si>
    <t>Purified</t>
  </si>
  <si>
    <t>Drifter: Mastery</t>
  </si>
  <si>
    <t>As Drifter, beat the game or obliterate on monsoon.</t>
  </si>
  <si>
    <t>Drone Division</t>
  </si>
  <si>
    <t>Collector</t>
  </si>
  <si>
    <t>Commando: Purge</t>
  </si>
  <si>
    <t>Huntress: Purge</t>
  </si>
  <si>
    <t>Bandit: Accept and Decompile</t>
  </si>
  <si>
    <t>MUL-T: Purge</t>
  </si>
  <si>
    <t>Engineer: Purge</t>
  </si>
  <si>
    <t>As Engineer, reject the offering of the Collective.</t>
  </si>
  <si>
    <t>As Huntress, reject the offering of the Collective.</t>
  </si>
  <si>
    <t>As MUL-T, reject the offering of the Collective.</t>
  </si>
  <si>
    <t>As Commando, reject the offering of the Collective.</t>
  </si>
  <si>
    <t>As Bandit, accept the offering of the Collective.</t>
  </si>
  <si>
    <t>Artificer: Accept and Decompile</t>
  </si>
  <si>
    <t>As Artificer, accept the offering of the Collective.</t>
  </si>
  <si>
    <t>Mercenary: Purge</t>
  </si>
  <si>
    <t>As Mercenary, reject the offering of the Collective.</t>
  </si>
  <si>
    <t>REX: Cleared Prime Meridian</t>
  </si>
  <si>
    <t>REX: Accept and Decompile</t>
  </si>
  <si>
    <t>As REX, complete the Event on Prime Meridian.</t>
  </si>
  <si>
    <t>As REX, accept the offering of the Collective.</t>
  </si>
  <si>
    <t>Loader: Accept and Decompile</t>
  </si>
  <si>
    <t>As Loader, accept the offering of the Collective.</t>
  </si>
  <si>
    <t>Acrid: Purge</t>
  </si>
  <si>
    <t>As Acrid, reject the offering of the Collective.</t>
  </si>
  <si>
    <t>Captain: Accept and Decompile</t>
  </si>
  <si>
    <t>As Captain, accept the offering of the Collective.</t>
  </si>
  <si>
    <t>ARTIFACTS</t>
  </si>
  <si>
    <t>Experienced Rebirth</t>
  </si>
  <si>
    <t>Gain the power of another life by offering to the Shrine of Rebirth.</t>
  </si>
  <si>
    <t>Artifact of Rebirth</t>
  </si>
  <si>
    <t>Trial of Chaos</t>
  </si>
  <si>
    <t>Complete the Trial of Chaos.</t>
  </si>
  <si>
    <t>Artifact of Chaos</t>
  </si>
  <si>
    <t>Trial of Command</t>
  </si>
  <si>
    <t>Complete the Trial of Command.</t>
  </si>
  <si>
    <t>Artifact of Command</t>
  </si>
  <si>
    <t>Trial of Death</t>
  </si>
  <si>
    <t>Complete the Trial of Death.</t>
  </si>
  <si>
    <t>Artifact of Death</t>
  </si>
  <si>
    <t>Trial of Delusion</t>
  </si>
  <si>
    <t>Complete the Trial of Delusion.</t>
  </si>
  <si>
    <t>Artifact of Delusion</t>
  </si>
  <si>
    <t>Trial of Devotion</t>
  </si>
  <si>
    <t>Complete the Trial of Devotion.</t>
  </si>
  <si>
    <t>Artifact of Devotion</t>
  </si>
  <si>
    <t>Trial of Dissonance</t>
  </si>
  <si>
    <t>Complete the Trial of Dissonance.</t>
  </si>
  <si>
    <t>Artifact of Dissonance</t>
  </si>
  <si>
    <t>Trial of Enigma</t>
  </si>
  <si>
    <t>Complete the Trial of Enigma.</t>
  </si>
  <si>
    <t>Artifact of Enigma</t>
  </si>
  <si>
    <t>Trial of Evolution</t>
  </si>
  <si>
    <t>Complete the Trial of Evolution.</t>
  </si>
  <si>
    <t>Artifact of Evolution</t>
  </si>
  <si>
    <t>Trial of Frailty</t>
  </si>
  <si>
    <t>Complete the Trial of Frailty.</t>
  </si>
  <si>
    <t>Artifact of Frailty</t>
  </si>
  <si>
    <t>Trial of Glass</t>
  </si>
  <si>
    <t>Complete the Trial of Glass.</t>
  </si>
  <si>
    <t>Artifact of Glass</t>
  </si>
  <si>
    <t>Trial of Honor</t>
  </si>
  <si>
    <t>Complete the Trial of Honor.</t>
  </si>
  <si>
    <t>Artifact of Honor</t>
  </si>
  <si>
    <t>Trial of Kin</t>
  </si>
  <si>
    <t>Complete the Trial of Kin.</t>
  </si>
  <si>
    <t>Artifact of Kin</t>
  </si>
  <si>
    <t>Trial of Metamorphosis</t>
  </si>
  <si>
    <t>Complete the Trial of Metamorphosis.</t>
  </si>
  <si>
    <t>Artifact of Metamorphosis</t>
  </si>
  <si>
    <t>Trial of Sacrifice</t>
  </si>
  <si>
    <t>Complete the Trial of Sacrifice.</t>
  </si>
  <si>
    <t>Artifact of Sacrifice</t>
  </si>
  <si>
    <t>Trial of Soul</t>
  </si>
  <si>
    <t>Complete the Trial of Soul.</t>
  </si>
  <si>
    <t>Artifact of Soul</t>
  </si>
  <si>
    <t>Trial of Spite</t>
  </si>
  <si>
    <t>Complete the Trial of Spite.</t>
  </si>
  <si>
    <t>Artifact of Spite</t>
  </si>
  <si>
    <t>Trial of Swarms</t>
  </si>
  <si>
    <t>Complete the Trial of Swarms.</t>
  </si>
  <si>
    <t>Artifact of Swarms</t>
  </si>
  <si>
    <t>Trial of Vengeance</t>
  </si>
  <si>
    <t>Complete the Trial of Vengeance.</t>
  </si>
  <si>
    <t>Artifact of Vengeance</t>
  </si>
  <si>
    <t>ITEMS</t>
  </si>
  <si>
    <t>"Is This Bugged?"</t>
  </si>
  <si>
    <t>Fail the Shrine of Chance 3 times in a row.</t>
  </si>
  <si>
    <t>Paul's Goat Hoof</t>
  </si>
  <si>
    <t>...Maybe One More.</t>
  </si>
  <si>
    <t>Duplicate the same item 7 times in a row with a 3D Printer.</t>
  </si>
  <si>
    <t>Bundle of Fireworks</t>
  </si>
  <si>
    <t>Advancement</t>
  </si>
  <si>
    <t>Complete a Teleporter event.</t>
  </si>
  <si>
    <t>Armor-Piercing Rounds</t>
  </si>
  <si>
    <t>Automation Activation</t>
  </si>
  <si>
    <t>Activate 6 turrets in a single run.</t>
  </si>
  <si>
    <t>Squid Polyp</t>
  </si>
  <si>
    <t>Blockade Breaker</t>
  </si>
  <si>
    <t>Kill 15 boss monsters in a single run.</t>
  </si>
  <si>
    <t>Cut Down</t>
  </si>
  <si>
    <t>Defeat 500 elite monsters.</t>
  </si>
  <si>
    <t>Old Guillotine</t>
  </si>
  <si>
    <t>Death Do Us Part</t>
  </si>
  <si>
    <t>Discover the hidden chamber in the Abandoned Aqueduct.</t>
  </si>
  <si>
    <t>Kjaro's BandRunald's Band</t>
  </si>
  <si>
    <t>Deicide</t>
  </si>
  <si>
    <t>Defeat an Elite boss on Monsoon difficulty.</t>
  </si>
  <si>
    <t>Brainstalks</t>
  </si>
  <si>
    <t>Deja Vu?</t>
  </si>
  <si>
    <t>Loop back to the first stage.</t>
  </si>
  <si>
    <t>Sentient Meat Hook</t>
  </si>
  <si>
    <t>Elite Slayer</t>
  </si>
  <si>
    <t>Defeat an Elite-type monster.</t>
  </si>
  <si>
    <t>Medkit</t>
  </si>
  <si>
    <t>Experimenting</t>
  </si>
  <si>
    <t>Pick up 5 different types of Equipment.</t>
  </si>
  <si>
    <t>Fuel Cell</t>
  </si>
  <si>
    <t>Flawless</t>
  </si>
  <si>
    <t>Fully charge a Teleporter without getting hit.</t>
  </si>
  <si>
    <t>Backup Magazine</t>
  </si>
  <si>
    <t>Glorious Battle</t>
  </si>
  <si>
    <t>Charge the Teleporter with less than 10% health.</t>
  </si>
  <si>
    <t>Berzerker's Pauldron</t>
  </si>
  <si>
    <t>Going Fast Recommended</t>
  </si>
  <si>
    <t>Reach +300% movespeed (includes sprinting).</t>
  </si>
  <si>
    <t>Wax Quail</t>
  </si>
  <si>
    <t>Her Concepts</t>
  </si>
  <si>
    <t>Find the Altar to N'kuhana.</t>
  </si>
  <si>
    <t>N'kuhana's Opinion</t>
  </si>
  <si>
    <t>Keyed Up</t>
  </si>
  <si>
    <t>Defeat the Teleporter boss under 15 seconds.</t>
  </si>
  <si>
    <t>Rusted Key</t>
  </si>
  <si>
    <t>King of the Hill</t>
  </si>
  <si>
    <t>Journey to the Prime Meridian and defeat the False Son.</t>
  </si>
  <si>
    <t>Seed of Life</t>
  </si>
  <si>
    <t>Learning Process</t>
  </si>
  <si>
    <t>Die 5 times.</t>
  </si>
  <si>
    <t>Tougher Times</t>
  </si>
  <si>
    <t>Macho</t>
  </si>
  <si>
    <t>Deal 5000 damage in one shot.</t>
  </si>
  <si>
    <t>Unstable Tesla Coil</t>
  </si>
  <si>
    <t>Naturopath</t>
  </si>
  <si>
    <t>Without healing, reach and complete the 3rd Teleporter event.</t>
  </si>
  <si>
    <t>Rejuvenation Rack</t>
  </si>
  <si>
    <t>Never Back Down</t>
  </si>
  <si>
    <t>In 4 consecutive stages don’t leave the teleporter radius until it is fully charged.</t>
  </si>
  <si>
    <t>Focused Convergence</t>
  </si>
  <si>
    <t>Newtist</t>
  </si>
  <si>
    <t>Discover and activate 8 unique Newt Altars.</t>
  </si>
  <si>
    <t>Soulbound Catalyst</t>
  </si>
  <si>
    <t>Prismatically Aligned</t>
  </si>
  <si>
    <t>Complete a Prismatic Trial.</t>
  </si>
  <si>
    <t>Harvester's Scythe</t>
  </si>
  <si>
    <t>Rapidfire</t>
  </si>
  <si>
    <t>Reach +200% attack speed.</t>
  </si>
  <si>
    <t>Predatory Instincts</t>
  </si>
  <si>
    <t>Slaughter</t>
  </si>
  <si>
    <t>Defeat 3000 enemies.</t>
  </si>
  <si>
    <t>Infusion</t>
  </si>
  <si>
    <t>The Basics</t>
  </si>
  <si>
    <t>Discover 10 unique white items.</t>
  </si>
  <si>
    <t>Crowbar</t>
  </si>
  <si>
    <t>The Calm</t>
  </si>
  <si>
    <t>Escape the moon on Monsoon difficulty.</t>
  </si>
  <si>
    <t>Purity</t>
  </si>
  <si>
    <t>The Demons And The Crabs</t>
  </si>
  <si>
    <t>Kill 20 Hermit Crabs by chasing them off the edge of the map.</t>
  </si>
  <si>
    <t>Gesture of the Drowned</t>
  </si>
  <si>
    <t>The Lone Survivor</t>
  </si>
  <si>
    <t>Stay alive for 30 consecutive minutes.</t>
  </si>
  <si>
    <t>Dio's Best Friend</t>
  </si>
  <si>
    <t>The Long Road</t>
  </si>
  <si>
    <t>Complete 20 stages in a single run.</t>
  </si>
  <si>
    <t>57 Leaf Clover</t>
  </si>
  <si>
    <t>Warmonger</t>
  </si>
  <si>
    <t>Complete 3 Combat Shrines in a single stage.</t>
  </si>
  <si>
    <t>War Horn</t>
  </si>
  <si>
    <t>Ascendant</t>
  </si>
  <si>
    <t>Defeat the Teleporter bosses after activating 2 Shrines of the Mountain.</t>
  </si>
  <si>
    <t>Royal Capacitor</t>
  </si>
  <si>
    <t>Blackout</t>
  </si>
  <si>
    <t>Defeat the unique guardian of Gilded Coast without any beacons deactivating.</t>
  </si>
  <si>
    <t>Eccentric Vase</t>
  </si>
  <si>
    <t>Bookworm</t>
  </si>
  <si>
    <t>Collect 10 Monster or Environment Logs.</t>
  </si>
  <si>
    <t>Radar Scanner</t>
  </si>
  <si>
    <t>Cleanup Duty</t>
  </si>
  <si>
    <t>Destroy 20 flying rocks in Sky Meadow.</t>
  </si>
  <si>
    <t>Recycler</t>
  </si>
  <si>
    <t>Cosmic Explorer</t>
  </si>
  <si>
    <t>Discover and enter three unique portals.</t>
  </si>
  <si>
    <t>Spinel Tonic</t>
  </si>
  <si>
    <t>Funded!</t>
  </si>
  <si>
    <t>Collect $30,480 total gold.</t>
  </si>
  <si>
    <t>The Crowdfunder</t>
  </si>
  <si>
    <t>I Love Dying!</t>
  </si>
  <si>
    <t>Die 20 times.</t>
  </si>
  <si>
    <t>Forgive Me Please</t>
  </si>
  <si>
    <t>Mechanic</t>
  </si>
  <si>
    <t>Repair 30 drones or turrets.</t>
  </si>
  <si>
    <t>The Back-up</t>
  </si>
  <si>
    <t>Moon Worshipper</t>
  </si>
  <si>
    <t>Carry 5 Lunar items in a single run.</t>
  </si>
  <si>
    <t>Glowing Meteorite</t>
  </si>
  <si>
    <t>Multikill!</t>
  </si>
  <si>
    <t>Kill 15 enemies simultaneously.</t>
  </si>
  <si>
    <t>Helfire Tincture</t>
  </si>
  <si>
    <t>One with the Woods</t>
  </si>
  <si>
    <t>Fully upgrade a Shrine of the Woods.</t>
  </si>
  <si>
    <t>Gnarled Woodsprite</t>
  </si>
  <si>
    <t>Warm For Life</t>
  </si>
  <si>
    <t>Die three times while burning.</t>
  </si>
  <si>
    <t>Blast Shower</t>
  </si>
  <si>
    <t>[REDACTED]</t>
  </si>
  <si>
    <t>Open the Timed Security Chest on Rallypoint Delta.</t>
  </si>
  <si>
    <t>Preon Accumulator</t>
  </si>
  <si>
    <t>Heresy Items</t>
  </si>
  <si>
    <t>Type</t>
  </si>
  <si>
    <t>Complete</t>
  </si>
  <si>
    <t>Total</t>
  </si>
  <si>
    <t>Surviors</t>
  </si>
  <si>
    <t>Items</t>
  </si>
  <si>
    <t>Abilities</t>
  </si>
  <si>
    <t>Skins</t>
  </si>
  <si>
    <t>Artifacts</t>
  </si>
  <si>
    <t>Overall</t>
  </si>
  <si>
    <t>STATS</t>
  </si>
  <si>
    <t>Commandeered</t>
  </si>
  <si>
    <t>Trial of Prestige</t>
  </si>
  <si>
    <t>Artifact of Prestige</t>
  </si>
  <si>
    <t>Complete the Trial of Prestige.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</si>
</sst>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20"/>
      <color theme="1"/>
      <name val="Risk of Rain"/>
    </font>
    <font>
      <sz val="20"/>
      <color rgb="FFFFFF99"/>
      <name val="Risk of Rain"/>
    </font>
    <font>
      <sz val="20"/>
      <color theme="0"/>
      <name val="Risk of Rain"/>
    </font>
    <font>
      <sz val="11"/>
      <color theme="1"/>
      <name val="Risk of Rain"/>
    </font>
    <font>
      <sz val="11"/>
      <color theme="1"/>
      <name val="Biome"/>
      <family val="2"/>
    </font>
    <font>
      <sz val="11"/>
      <color theme="0"/>
      <name val="Biome"/>
      <family val="2"/>
    </font>
    <font>
      <sz val="11"/>
      <color theme="1"/>
      <name val="Apotos Narrow"/>
    </font>
    <font>
      <b/>
      <sz val="11"/>
      <color theme="1"/>
      <name val="Biome"/>
      <family val="2"/>
    </font>
    <font>
      <b/>
      <sz val="11"/>
      <color theme="1"/>
      <name val="Apotos Narrow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BC500"/>
        <bgColor indexed="64"/>
      </patternFill>
    </fill>
    <fill>
      <patternFill patternType="solid">
        <fgColor rgb="FF1E1E44"/>
        <bgColor indexed="64"/>
      </patternFill>
    </fill>
    <fill>
      <patternFill patternType="solid">
        <fgColor rgb="FFFFFFAB"/>
        <bgColor indexed="64"/>
      </patternFill>
    </fill>
  </fills>
  <borders count="12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5" borderId="1" xfId="0" applyFill="1" applyBorder="1"/>
    <xf numFmtId="0" fontId="5" fillId="5" borderId="1" xfId="0" applyFont="1" applyFill="1" applyBorder="1"/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5" borderId="2" xfId="0" applyFont="1" applyFill="1" applyBorder="1"/>
    <xf numFmtId="0" fontId="7" fillId="5" borderId="4" xfId="0" applyFont="1" applyFill="1" applyBorder="1"/>
    <xf numFmtId="0" fontId="6" fillId="4" borderId="8" xfId="0" applyFont="1" applyFill="1" applyBorder="1" applyAlignment="1">
      <alignment horizontal="center"/>
    </xf>
    <xf numFmtId="0" fontId="7" fillId="5" borderId="8" xfId="0" applyFont="1" applyFill="1" applyBorder="1"/>
    <xf numFmtId="0" fontId="7" fillId="5" borderId="9" xfId="0" applyFont="1" applyFill="1" applyBorder="1"/>
    <xf numFmtId="0" fontId="6" fillId="4" borderId="10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11" xfId="0" applyFont="1" applyFill="1" applyBorder="1"/>
    <xf numFmtId="0" fontId="5" fillId="0" borderId="2" xfId="0" applyFont="1" applyBorder="1" applyAlignment="1">
      <alignment horizontal="center"/>
    </xf>
    <xf numFmtId="0" fontId="5" fillId="5" borderId="2" xfId="0" applyFont="1" applyFill="1" applyBorder="1"/>
    <xf numFmtId="0" fontId="0" fillId="5" borderId="2" xfId="0" applyFill="1" applyBorder="1"/>
    <xf numFmtId="0" fontId="5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1" fillId="2" borderId="0" xfId="0" applyFont="1" applyFill="1" applyAlignment="1">
      <alignment vertical="center"/>
    </xf>
    <xf numFmtId="0" fontId="8" fillId="2" borderId="5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</cellXfs>
  <cellStyles count="1">
    <cellStyle name="Normal" xfId="0" builtinId="0"/>
  </cellStyles>
  <dxfs count="7">
    <dxf>
      <fill>
        <patternFill>
          <bgColor rgb="FF84D2AD"/>
        </patternFill>
      </fill>
    </dxf>
    <dxf>
      <fill>
        <patternFill>
          <bgColor rgb="FFF59D9D"/>
        </patternFill>
      </fill>
    </dxf>
    <dxf>
      <fill>
        <patternFill>
          <bgColor rgb="FF82DE82"/>
        </patternFill>
      </fill>
    </dxf>
    <dxf>
      <fill>
        <patternFill>
          <bgColor rgb="FFF59D9D"/>
        </patternFill>
      </fill>
    </dxf>
    <dxf>
      <fill>
        <patternFill>
          <bgColor rgb="FF82DE82"/>
        </patternFill>
      </fill>
    </dxf>
    <dxf>
      <fill>
        <patternFill>
          <bgColor rgb="FFF59D9D"/>
        </patternFill>
      </fill>
    </dxf>
    <dxf>
      <fill>
        <patternFill>
          <bgColor rgb="FF82DE82"/>
        </patternFill>
      </fill>
    </dxf>
  </dxfs>
  <tableStyles count="0" defaultTableStyle="TableStyleMedium2" defaultPivotStyle="PivotStyleLight16"/>
  <colors>
    <mruColors>
      <color rgb="FFFFFFAB"/>
      <color rgb="FF1E1E44"/>
      <color rgb="FFFBC500"/>
      <color rgb="FF82DE82"/>
      <color rgb="FFF59D9D"/>
      <color rgb="FFFFFFFF"/>
      <color rgb="FF84D2A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FEA-E399-403B-888B-1F5B90853855}">
  <dimension ref="A1:I183"/>
  <sheetViews>
    <sheetView tabSelected="1" topLeftCell="A26" zoomScale="83" workbookViewId="0">
      <selection activeCell="A39" sqref="A39"/>
    </sheetView>
  </sheetViews>
  <sheetFormatPr defaultRowHeight="14.4"/>
  <cols>
    <col min="1" max="1" width="21.88671875" customWidth="1"/>
    <col min="2" max="2" width="36.6640625" customWidth="1"/>
    <col min="3" max="3" width="86.21875" customWidth="1"/>
    <col min="4" max="4" width="28.109375" customWidth="1"/>
    <col min="6" max="6" width="17.21875" customWidth="1"/>
    <col min="7" max="8" width="13.33203125" customWidth="1"/>
    <col min="11" max="11" width="11.44140625" customWidth="1"/>
  </cols>
  <sheetData>
    <row r="1" spans="1:8" ht="34.200000000000003" customHeight="1">
      <c r="A1" s="24" t="s">
        <v>0</v>
      </c>
      <c r="B1" s="1"/>
      <c r="C1" s="1"/>
    </row>
    <row r="3" spans="1:8" ht="15" thickBot="1">
      <c r="A3" s="7" t="s">
        <v>1</v>
      </c>
      <c r="F3" s="7" t="s">
        <v>518</v>
      </c>
    </row>
    <row r="4" spans="1:8" ht="15" thickBot="1">
      <c r="A4" s="5" t="s">
        <v>9</v>
      </c>
      <c r="B4" s="4" t="s">
        <v>6</v>
      </c>
      <c r="C4" s="4" t="s">
        <v>5</v>
      </c>
      <c r="D4" s="4" t="s">
        <v>8</v>
      </c>
      <c r="F4" s="15" t="s">
        <v>509</v>
      </c>
      <c r="G4" s="12" t="s">
        <v>510</v>
      </c>
      <c r="H4" s="9" t="s">
        <v>511</v>
      </c>
    </row>
    <row r="5" spans="1:8" ht="15" thickBot="1">
      <c r="A5" s="8" t="s">
        <v>47</v>
      </c>
      <c r="B5" s="3" t="s">
        <v>34</v>
      </c>
      <c r="C5" s="2" t="s">
        <v>22</v>
      </c>
      <c r="D5" s="3" t="s">
        <v>10</v>
      </c>
      <c r="F5" s="16" t="s">
        <v>512</v>
      </c>
      <c r="G5" s="13">
        <f>COUNTIF(A5:A17, "Done")</f>
        <v>12</v>
      </c>
      <c r="H5" s="10">
        <v>13</v>
      </c>
    </row>
    <row r="6" spans="1:8" ht="15" thickBot="1">
      <c r="A6" s="8" t="s">
        <v>47</v>
      </c>
      <c r="B6" s="3" t="s">
        <v>35</v>
      </c>
      <c r="C6" s="2" t="s">
        <v>25</v>
      </c>
      <c r="D6" s="3" t="s">
        <v>11</v>
      </c>
      <c r="F6" s="16" t="s">
        <v>514</v>
      </c>
      <c r="G6" s="13">
        <f>COUNTIF(A20:A71, "Done")</f>
        <v>7</v>
      </c>
      <c r="H6" s="10">
        <v>53</v>
      </c>
    </row>
    <row r="7" spans="1:8" ht="15" thickBot="1">
      <c r="A7" s="8" t="s">
        <v>47</v>
      </c>
      <c r="B7" s="3" t="s">
        <v>36</v>
      </c>
      <c r="C7" s="2" t="s">
        <v>26</v>
      </c>
      <c r="D7" s="3" t="s">
        <v>12</v>
      </c>
      <c r="F7" s="16" t="s">
        <v>515</v>
      </c>
      <c r="G7" s="13">
        <f>COUNTIF(A74:A115, "Done")</f>
        <v>3</v>
      </c>
      <c r="H7" s="10">
        <v>42</v>
      </c>
    </row>
    <row r="8" spans="1:8" ht="15" thickBot="1">
      <c r="A8" s="8" t="s">
        <v>47</v>
      </c>
      <c r="B8" s="3" t="s">
        <v>37</v>
      </c>
      <c r="C8" s="2" t="s">
        <v>27</v>
      </c>
      <c r="D8" s="3" t="s">
        <v>13</v>
      </c>
      <c r="F8" s="16" t="s">
        <v>513</v>
      </c>
      <c r="G8" s="13">
        <f>COUNTIF(A118:A161, "Done")</f>
        <v>41</v>
      </c>
      <c r="H8" s="10">
        <v>44</v>
      </c>
    </row>
    <row r="9" spans="1:8" ht="15" thickBot="1">
      <c r="A9" s="8" t="s">
        <v>47</v>
      </c>
      <c r="B9" s="3" t="s">
        <v>38</v>
      </c>
      <c r="C9" s="2" t="s">
        <v>28</v>
      </c>
      <c r="D9" s="3" t="s">
        <v>14</v>
      </c>
      <c r="F9" s="17" t="s">
        <v>516</v>
      </c>
      <c r="G9" s="14">
        <f>COUNTIF(A164:A183, "Done")</f>
        <v>9</v>
      </c>
      <c r="H9" s="11">
        <v>19</v>
      </c>
    </row>
    <row r="10" spans="1:8" ht="15" thickBot="1">
      <c r="A10" s="8" t="s">
        <v>47</v>
      </c>
      <c r="B10" s="3" t="s">
        <v>39</v>
      </c>
      <c r="C10" s="2" t="s">
        <v>29</v>
      </c>
      <c r="D10" s="3" t="s">
        <v>15</v>
      </c>
      <c r="F10" s="25" t="s">
        <v>517</v>
      </c>
      <c r="G10" s="26">
        <f>SUM(G5:G9)</f>
        <v>72</v>
      </c>
      <c r="H10" s="27">
        <v>171</v>
      </c>
    </row>
    <row r="11" spans="1:8">
      <c r="A11" s="8" t="s">
        <v>47</v>
      </c>
      <c r="B11" s="3" t="s">
        <v>49</v>
      </c>
      <c r="C11" s="2" t="s">
        <v>50</v>
      </c>
      <c r="D11" s="3" t="s">
        <v>48</v>
      </c>
    </row>
    <row r="12" spans="1:8">
      <c r="A12" s="8" t="s">
        <v>47</v>
      </c>
      <c r="B12" s="3" t="s">
        <v>40</v>
      </c>
      <c r="C12" s="2" t="s">
        <v>24</v>
      </c>
      <c r="D12" s="3" t="s">
        <v>16</v>
      </c>
    </row>
    <row r="13" spans="1:8">
      <c r="A13" s="8" t="s">
        <v>47</v>
      </c>
      <c r="B13" s="3" t="s">
        <v>41</v>
      </c>
      <c r="C13" s="2" t="s">
        <v>30</v>
      </c>
      <c r="D13" s="3" t="s">
        <v>17</v>
      </c>
    </row>
    <row r="14" spans="1:8">
      <c r="A14" s="8" t="s">
        <v>47</v>
      </c>
      <c r="B14" s="3" t="s">
        <v>42</v>
      </c>
      <c r="C14" s="2" t="s">
        <v>31</v>
      </c>
      <c r="D14" s="3" t="s">
        <v>18</v>
      </c>
    </row>
    <row r="15" spans="1:8">
      <c r="A15" s="8" t="s">
        <v>47</v>
      </c>
      <c r="B15" s="3" t="s">
        <v>43</v>
      </c>
      <c r="C15" s="2" t="s">
        <v>32</v>
      </c>
      <c r="D15" s="3" t="s">
        <v>19</v>
      </c>
    </row>
    <row r="16" spans="1:8">
      <c r="A16" s="8" t="s">
        <v>47</v>
      </c>
      <c r="B16" s="3" t="s">
        <v>44</v>
      </c>
      <c r="C16" s="2" t="s">
        <v>33</v>
      </c>
      <c r="D16" s="3" t="s">
        <v>20</v>
      </c>
    </row>
    <row r="17" spans="1:4">
      <c r="A17" s="8" t="s">
        <v>46</v>
      </c>
      <c r="B17" s="3" t="s">
        <v>45</v>
      </c>
      <c r="C17" s="2" t="s">
        <v>23</v>
      </c>
      <c r="D17" s="3" t="s">
        <v>21</v>
      </c>
    </row>
    <row r="18" spans="1:4" ht="15.6" customHeight="1">
      <c r="A18" s="7" t="s">
        <v>51</v>
      </c>
    </row>
    <row r="19" spans="1:4">
      <c r="A19" s="4" t="s">
        <v>2</v>
      </c>
      <c r="B19" s="4" t="s">
        <v>3</v>
      </c>
      <c r="C19" s="4" t="s">
        <v>4</v>
      </c>
      <c r="D19" s="4" t="s">
        <v>7</v>
      </c>
    </row>
    <row r="20" spans="1:4">
      <c r="A20" s="18" t="s">
        <v>46</v>
      </c>
      <c r="B20" s="19" t="s">
        <v>52</v>
      </c>
      <c r="C20" s="20" t="s">
        <v>69</v>
      </c>
      <c r="D20" s="19" t="s">
        <v>61</v>
      </c>
    </row>
    <row r="21" spans="1:4">
      <c r="A21" s="21" t="s">
        <v>47</v>
      </c>
      <c r="B21" s="19" t="s">
        <v>53</v>
      </c>
      <c r="C21" s="20" t="s">
        <v>71</v>
      </c>
      <c r="D21" s="19" t="s">
        <v>62</v>
      </c>
    </row>
    <row r="22" spans="1:4">
      <c r="A22" s="18" t="s">
        <v>46</v>
      </c>
      <c r="B22" s="19" t="s">
        <v>54</v>
      </c>
      <c r="C22" s="20" t="s">
        <v>72</v>
      </c>
      <c r="D22" s="19" t="s">
        <v>63</v>
      </c>
    </row>
    <row r="23" spans="1:4">
      <c r="A23" s="18" t="s">
        <v>46</v>
      </c>
      <c r="B23" s="19" t="s">
        <v>55</v>
      </c>
      <c r="C23" s="20" t="s">
        <v>73</v>
      </c>
      <c r="D23" s="19" t="s">
        <v>64</v>
      </c>
    </row>
    <row r="24" spans="1:4">
      <c r="A24" s="18" t="s">
        <v>46</v>
      </c>
      <c r="B24" s="19" t="s">
        <v>60</v>
      </c>
      <c r="C24" s="20" t="s">
        <v>74</v>
      </c>
      <c r="D24" s="19" t="s">
        <v>70</v>
      </c>
    </row>
    <row r="25" spans="1:4">
      <c r="A25" s="18" t="s">
        <v>46</v>
      </c>
      <c r="B25" s="19" t="s">
        <v>56</v>
      </c>
      <c r="C25" s="20" t="s">
        <v>75</v>
      </c>
      <c r="D25" s="19" t="s">
        <v>65</v>
      </c>
    </row>
    <row r="26" spans="1:4">
      <c r="A26" s="18" t="s">
        <v>46</v>
      </c>
      <c r="B26" s="19" t="s">
        <v>57</v>
      </c>
      <c r="C26" s="20" t="s">
        <v>76</v>
      </c>
      <c r="D26" s="19" t="s">
        <v>66</v>
      </c>
    </row>
    <row r="27" spans="1:4">
      <c r="A27" s="18" t="s">
        <v>46</v>
      </c>
      <c r="B27" s="19" t="s">
        <v>58</v>
      </c>
      <c r="C27" s="20" t="s">
        <v>77</v>
      </c>
      <c r="D27" s="19" t="s">
        <v>67</v>
      </c>
    </row>
    <row r="28" spans="1:4">
      <c r="A28" s="18" t="s">
        <v>46</v>
      </c>
      <c r="B28" s="19" t="s">
        <v>59</v>
      </c>
      <c r="C28" s="20" t="s">
        <v>78</v>
      </c>
      <c r="D28" s="19" t="s">
        <v>68</v>
      </c>
    </row>
    <row r="29" spans="1:4">
      <c r="A29" s="18" t="s">
        <v>46</v>
      </c>
      <c r="B29" s="19" t="s">
        <v>79</v>
      </c>
      <c r="C29" s="20" t="s">
        <v>97</v>
      </c>
      <c r="D29" s="19" t="s">
        <v>88</v>
      </c>
    </row>
    <row r="30" spans="1:4">
      <c r="A30" s="18" t="s">
        <v>46</v>
      </c>
      <c r="B30" s="19" t="s">
        <v>80</v>
      </c>
      <c r="C30" s="20" t="s">
        <v>98</v>
      </c>
      <c r="D30" s="19" t="s">
        <v>89</v>
      </c>
    </row>
    <row r="31" spans="1:4">
      <c r="A31" s="18" t="s">
        <v>46</v>
      </c>
      <c r="B31" s="19" t="s">
        <v>81</v>
      </c>
      <c r="C31" s="20" t="s">
        <v>99</v>
      </c>
      <c r="D31" s="19" t="s">
        <v>90</v>
      </c>
    </row>
    <row r="32" spans="1:4">
      <c r="A32" s="18" t="s">
        <v>46</v>
      </c>
      <c r="B32" s="19" t="s">
        <v>82</v>
      </c>
      <c r="C32" s="20" t="s">
        <v>100</v>
      </c>
      <c r="D32" s="19" t="s">
        <v>91</v>
      </c>
    </row>
    <row r="33" spans="1:4">
      <c r="A33" s="18" t="s">
        <v>46</v>
      </c>
      <c r="B33" s="19" t="s">
        <v>84</v>
      </c>
      <c r="C33" s="20" t="s">
        <v>101</v>
      </c>
      <c r="D33" s="19" t="s">
        <v>92</v>
      </c>
    </row>
    <row r="34" spans="1:4">
      <c r="A34" s="18" t="s">
        <v>46</v>
      </c>
      <c r="B34" s="19" t="s">
        <v>83</v>
      </c>
      <c r="C34" s="20" t="s">
        <v>102</v>
      </c>
      <c r="D34" s="19" t="s">
        <v>93</v>
      </c>
    </row>
    <row r="35" spans="1:4">
      <c r="A35" s="21" t="s">
        <v>47</v>
      </c>
      <c r="B35" s="19" t="s">
        <v>85</v>
      </c>
      <c r="C35" s="20" t="s">
        <v>103</v>
      </c>
      <c r="D35" s="19" t="s">
        <v>94</v>
      </c>
    </row>
    <row r="36" spans="1:4">
      <c r="A36" s="21" t="s">
        <v>47</v>
      </c>
      <c r="B36" s="19" t="s">
        <v>86</v>
      </c>
      <c r="C36" s="20" t="s">
        <v>104</v>
      </c>
      <c r="D36" s="19" t="s">
        <v>95</v>
      </c>
    </row>
    <row r="37" spans="1:4">
      <c r="A37" s="21" t="s">
        <v>47</v>
      </c>
      <c r="B37" s="19" t="s">
        <v>87</v>
      </c>
      <c r="C37" s="20" t="s">
        <v>105</v>
      </c>
      <c r="D37" s="19" t="s">
        <v>96</v>
      </c>
    </row>
    <row r="38" spans="1:4">
      <c r="A38" s="18" t="s">
        <v>47</v>
      </c>
      <c r="B38" s="19" t="s">
        <v>106</v>
      </c>
      <c r="C38" s="20" t="s">
        <v>107</v>
      </c>
      <c r="D38" s="19" t="s">
        <v>110</v>
      </c>
    </row>
    <row r="39" spans="1:4">
      <c r="A39" s="18" t="s">
        <v>46</v>
      </c>
      <c r="B39" s="19" t="s">
        <v>109</v>
      </c>
      <c r="C39" s="20" t="s">
        <v>111</v>
      </c>
      <c r="D39" s="22" t="s">
        <v>108</v>
      </c>
    </row>
    <row r="40" spans="1:4">
      <c r="A40" s="18" t="s">
        <v>46</v>
      </c>
      <c r="B40" s="19" t="s">
        <v>112</v>
      </c>
      <c r="C40" s="20" t="s">
        <v>113</v>
      </c>
      <c r="D40" s="22" t="s">
        <v>108</v>
      </c>
    </row>
    <row r="41" spans="1:4">
      <c r="A41" s="18" t="s">
        <v>46</v>
      </c>
      <c r="B41" s="19" t="s">
        <v>114</v>
      </c>
      <c r="C41" s="20" t="s">
        <v>132</v>
      </c>
      <c r="D41" s="19" t="s">
        <v>123</v>
      </c>
    </row>
    <row r="42" spans="1:4">
      <c r="A42" s="18" t="s">
        <v>46</v>
      </c>
      <c r="B42" s="19" t="s">
        <v>115</v>
      </c>
      <c r="C42" s="20" t="s">
        <v>133</v>
      </c>
      <c r="D42" s="19" t="s">
        <v>124</v>
      </c>
    </row>
    <row r="43" spans="1:4">
      <c r="A43" s="18" t="s">
        <v>46</v>
      </c>
      <c r="B43" s="19" t="s">
        <v>116</v>
      </c>
      <c r="C43" s="20" t="s">
        <v>134</v>
      </c>
      <c r="D43" s="19" t="s">
        <v>125</v>
      </c>
    </row>
    <row r="44" spans="1:4">
      <c r="A44" s="18" t="s">
        <v>46</v>
      </c>
      <c r="B44" s="19" t="s">
        <v>117</v>
      </c>
      <c r="C44" s="20" t="s">
        <v>135</v>
      </c>
      <c r="D44" s="19" t="s">
        <v>126</v>
      </c>
    </row>
    <row r="45" spans="1:4">
      <c r="A45" s="18" t="s">
        <v>46</v>
      </c>
      <c r="B45" s="19" t="s">
        <v>118</v>
      </c>
      <c r="C45" s="20" t="s">
        <v>136</v>
      </c>
      <c r="D45" s="19" t="s">
        <v>127</v>
      </c>
    </row>
    <row r="46" spans="1:4">
      <c r="A46" s="18" t="s">
        <v>46</v>
      </c>
      <c r="B46" s="19" t="s">
        <v>119</v>
      </c>
      <c r="C46" s="20" t="s">
        <v>137</v>
      </c>
      <c r="D46" s="19" t="s">
        <v>128</v>
      </c>
    </row>
    <row r="47" spans="1:4">
      <c r="A47" s="18" t="s">
        <v>46</v>
      </c>
      <c r="B47" s="19" t="s">
        <v>120</v>
      </c>
      <c r="C47" s="20" t="s">
        <v>138</v>
      </c>
      <c r="D47" s="19" t="s">
        <v>129</v>
      </c>
    </row>
    <row r="48" spans="1:4">
      <c r="A48" s="21" t="s">
        <v>47</v>
      </c>
      <c r="B48" s="19" t="s">
        <v>121</v>
      </c>
      <c r="C48" s="20" t="s">
        <v>139</v>
      </c>
      <c r="D48" s="19" t="s">
        <v>130</v>
      </c>
    </row>
    <row r="49" spans="1:4">
      <c r="A49" s="18" t="s">
        <v>46</v>
      </c>
      <c r="B49" s="19" t="s">
        <v>122</v>
      </c>
      <c r="C49" s="20" t="s">
        <v>140</v>
      </c>
      <c r="D49" s="19" t="s">
        <v>131</v>
      </c>
    </row>
    <row r="50" spans="1:4">
      <c r="A50" s="18" t="s">
        <v>46</v>
      </c>
      <c r="B50" s="19" t="s">
        <v>141</v>
      </c>
      <c r="C50" s="20" t="s">
        <v>169</v>
      </c>
      <c r="D50" s="19" t="s">
        <v>150</v>
      </c>
    </row>
    <row r="51" spans="1:4">
      <c r="A51" s="18" t="s">
        <v>46</v>
      </c>
      <c r="B51" s="19" t="s">
        <v>142</v>
      </c>
      <c r="C51" s="20" t="s">
        <v>170</v>
      </c>
      <c r="D51" s="19" t="s">
        <v>151</v>
      </c>
    </row>
    <row r="52" spans="1:4">
      <c r="A52" s="18" t="s">
        <v>46</v>
      </c>
      <c r="B52" s="19" t="s">
        <v>143</v>
      </c>
      <c r="C52" s="20" t="s">
        <v>171</v>
      </c>
      <c r="D52" s="19" t="s">
        <v>152</v>
      </c>
    </row>
    <row r="53" spans="1:4">
      <c r="A53" s="18" t="s">
        <v>46</v>
      </c>
      <c r="B53" s="19" t="s">
        <v>144</v>
      </c>
      <c r="C53" s="20" t="s">
        <v>172</v>
      </c>
      <c r="D53" s="19" t="s">
        <v>153</v>
      </c>
    </row>
    <row r="54" spans="1:4">
      <c r="A54" s="18" t="s">
        <v>46</v>
      </c>
      <c r="B54" s="19" t="s">
        <v>145</v>
      </c>
      <c r="C54" s="20" t="s">
        <v>173</v>
      </c>
      <c r="D54" s="19" t="s">
        <v>154</v>
      </c>
    </row>
    <row r="55" spans="1:4">
      <c r="A55" s="21" t="s">
        <v>47</v>
      </c>
      <c r="B55" s="19" t="s">
        <v>146</v>
      </c>
      <c r="C55" s="20" t="s">
        <v>174</v>
      </c>
      <c r="D55" s="19" t="s">
        <v>155</v>
      </c>
    </row>
    <row r="56" spans="1:4">
      <c r="A56" s="18" t="s">
        <v>46</v>
      </c>
      <c r="B56" s="19" t="s">
        <v>147</v>
      </c>
      <c r="C56" s="20" t="s">
        <v>175</v>
      </c>
      <c r="D56" s="19" t="s">
        <v>156</v>
      </c>
    </row>
    <row r="57" spans="1:4">
      <c r="A57" s="18" t="s">
        <v>46</v>
      </c>
      <c r="B57" s="19" t="s">
        <v>148</v>
      </c>
      <c r="C57" s="20" t="s">
        <v>176</v>
      </c>
      <c r="D57" s="19" t="s">
        <v>157</v>
      </c>
    </row>
    <row r="58" spans="1:4">
      <c r="A58" s="18" t="s">
        <v>46</v>
      </c>
      <c r="B58" s="19" t="s">
        <v>149</v>
      </c>
      <c r="C58" s="20" t="s">
        <v>177</v>
      </c>
      <c r="D58" s="19" t="s">
        <v>158</v>
      </c>
    </row>
    <row r="59" spans="1:4">
      <c r="A59" s="18" t="s">
        <v>46</v>
      </c>
      <c r="B59" s="19" t="s">
        <v>159</v>
      </c>
      <c r="C59" s="20" t="s">
        <v>164</v>
      </c>
      <c r="D59" s="22" t="s">
        <v>108</v>
      </c>
    </row>
    <row r="60" spans="1:4">
      <c r="A60" s="18" t="s">
        <v>46</v>
      </c>
      <c r="B60" s="19" t="s">
        <v>160</v>
      </c>
      <c r="C60" s="20" t="s">
        <v>165</v>
      </c>
      <c r="D60" s="22" t="s">
        <v>108</v>
      </c>
    </row>
    <row r="61" spans="1:4">
      <c r="A61" s="18" t="s">
        <v>46</v>
      </c>
      <c r="B61" s="19" t="s">
        <v>161</v>
      </c>
      <c r="C61" s="20" t="s">
        <v>166</v>
      </c>
      <c r="D61" s="22" t="s">
        <v>108</v>
      </c>
    </row>
    <row r="62" spans="1:4">
      <c r="A62" s="18" t="s">
        <v>46</v>
      </c>
      <c r="B62" s="19" t="s">
        <v>163</v>
      </c>
      <c r="C62" s="20" t="s">
        <v>168</v>
      </c>
      <c r="D62" s="22" t="s">
        <v>108</v>
      </c>
    </row>
    <row r="63" spans="1:4">
      <c r="A63" s="18" t="s">
        <v>46</v>
      </c>
      <c r="B63" s="19" t="s">
        <v>178</v>
      </c>
      <c r="C63" s="20" t="s">
        <v>196</v>
      </c>
      <c r="D63" s="23" t="s">
        <v>187</v>
      </c>
    </row>
    <row r="64" spans="1:4">
      <c r="A64" s="18" t="s">
        <v>46</v>
      </c>
      <c r="B64" s="19" t="s">
        <v>179</v>
      </c>
      <c r="C64" s="20" t="s">
        <v>197</v>
      </c>
      <c r="D64" s="23" t="s">
        <v>188</v>
      </c>
    </row>
    <row r="65" spans="1:4">
      <c r="A65" s="18" t="s">
        <v>46</v>
      </c>
      <c r="B65" s="19" t="s">
        <v>180</v>
      </c>
      <c r="C65" s="20" t="s">
        <v>198</v>
      </c>
      <c r="D65" s="23" t="s">
        <v>189</v>
      </c>
    </row>
    <row r="66" spans="1:4">
      <c r="A66" s="18" t="s">
        <v>46</v>
      </c>
      <c r="B66" s="19" t="s">
        <v>181</v>
      </c>
      <c r="C66" s="20" t="s">
        <v>199</v>
      </c>
      <c r="D66" s="19" t="s">
        <v>190</v>
      </c>
    </row>
    <row r="67" spans="1:4">
      <c r="A67" s="18" t="s">
        <v>46</v>
      </c>
      <c r="B67" s="19" t="s">
        <v>182</v>
      </c>
      <c r="C67" s="20" t="s">
        <v>200</v>
      </c>
      <c r="D67" s="19" t="s">
        <v>191</v>
      </c>
    </row>
    <row r="68" spans="1:4">
      <c r="A68" s="18" t="s">
        <v>46</v>
      </c>
      <c r="B68" s="19" t="s">
        <v>183</v>
      </c>
      <c r="C68" s="20" t="s">
        <v>201</v>
      </c>
      <c r="D68" s="19" t="s">
        <v>192</v>
      </c>
    </row>
    <row r="69" spans="1:4">
      <c r="A69" s="18" t="s">
        <v>46</v>
      </c>
      <c r="B69" s="19" t="s">
        <v>184</v>
      </c>
      <c r="C69" s="20" t="s">
        <v>202</v>
      </c>
      <c r="D69" s="19" t="s">
        <v>193</v>
      </c>
    </row>
    <row r="70" spans="1:4">
      <c r="A70" s="18" t="s">
        <v>46</v>
      </c>
      <c r="B70" s="19" t="s">
        <v>185</v>
      </c>
      <c r="C70" s="20" t="s">
        <v>203</v>
      </c>
      <c r="D70" s="19" t="s">
        <v>194</v>
      </c>
    </row>
    <row r="71" spans="1:4">
      <c r="A71" s="18" t="s">
        <v>46</v>
      </c>
      <c r="B71" s="19" t="s">
        <v>186</v>
      </c>
      <c r="C71" s="20" t="s">
        <v>204</v>
      </c>
      <c r="D71" s="19" t="s">
        <v>195</v>
      </c>
    </row>
    <row r="72" spans="1:4">
      <c r="A72" s="7" t="s">
        <v>205</v>
      </c>
    </row>
    <row r="73" spans="1:4">
      <c r="A73" s="4" t="s">
        <v>2</v>
      </c>
      <c r="B73" s="4" t="s">
        <v>3</v>
      </c>
      <c r="C73" s="4" t="s">
        <v>4</v>
      </c>
      <c r="D73" s="4" t="s">
        <v>7</v>
      </c>
    </row>
    <row r="74" spans="1:4">
      <c r="A74" s="18" t="s">
        <v>46</v>
      </c>
      <c r="B74" s="19" t="s">
        <v>206</v>
      </c>
      <c r="C74" s="20" t="s">
        <v>207</v>
      </c>
      <c r="D74" s="19" t="s">
        <v>208</v>
      </c>
    </row>
    <row r="75" spans="1:4">
      <c r="A75" s="18" t="s">
        <v>46</v>
      </c>
      <c r="B75" s="19" t="s">
        <v>314</v>
      </c>
      <c r="C75" s="20" t="s">
        <v>315</v>
      </c>
      <c r="D75" s="22" t="s">
        <v>108</v>
      </c>
    </row>
    <row r="76" spans="1:4">
      <c r="A76" s="18" t="s">
        <v>46</v>
      </c>
      <c r="B76" s="19" t="s">
        <v>209</v>
      </c>
      <c r="C76" s="20" t="s">
        <v>210</v>
      </c>
      <c r="D76" s="19" t="s">
        <v>211</v>
      </c>
    </row>
    <row r="77" spans="1:4">
      <c r="A77" s="18" t="s">
        <v>46</v>
      </c>
      <c r="B77" s="19" t="s">
        <v>304</v>
      </c>
      <c r="C77" s="20" t="s">
        <v>305</v>
      </c>
      <c r="D77" s="22" t="s">
        <v>108</v>
      </c>
    </row>
    <row r="78" spans="1:4">
      <c r="A78" s="18" t="s">
        <v>46</v>
      </c>
      <c r="B78" s="19" t="s">
        <v>212</v>
      </c>
      <c r="C78" s="20" t="s">
        <v>213</v>
      </c>
      <c r="D78" s="19" t="s">
        <v>214</v>
      </c>
    </row>
    <row r="79" spans="1:4">
      <c r="A79" s="18" t="s">
        <v>46</v>
      </c>
      <c r="B79" s="19" t="s">
        <v>215</v>
      </c>
      <c r="C79" s="20" t="s">
        <v>216</v>
      </c>
      <c r="D79" s="19" t="s">
        <v>217</v>
      </c>
    </row>
    <row r="80" spans="1:4">
      <c r="A80" s="18" t="s">
        <v>46</v>
      </c>
      <c r="B80" s="19" t="s">
        <v>296</v>
      </c>
      <c r="C80" s="20" t="s">
        <v>303</v>
      </c>
      <c r="D80" s="22" t="s">
        <v>108</v>
      </c>
    </row>
    <row r="81" spans="1:9">
      <c r="A81" s="18" t="s">
        <v>46</v>
      </c>
      <c r="B81" s="19" t="s">
        <v>218</v>
      </c>
      <c r="C81" s="20" t="s">
        <v>219</v>
      </c>
      <c r="D81" s="19" t="s">
        <v>220</v>
      </c>
    </row>
    <row r="82" spans="1:9">
      <c r="A82" s="18" t="s">
        <v>46</v>
      </c>
      <c r="B82" s="19" t="s">
        <v>221</v>
      </c>
      <c r="C82" s="20" t="s">
        <v>222</v>
      </c>
      <c r="D82" s="19" t="s">
        <v>223</v>
      </c>
    </row>
    <row r="83" spans="1:9">
      <c r="A83" s="18" t="s">
        <v>46</v>
      </c>
      <c r="B83" s="19" t="s">
        <v>316</v>
      </c>
      <c r="C83" s="20" t="s">
        <v>317</v>
      </c>
      <c r="D83" s="22" t="s">
        <v>108</v>
      </c>
    </row>
    <row r="84" spans="1:9">
      <c r="A84" s="18" t="s">
        <v>46</v>
      </c>
      <c r="B84" s="19" t="s">
        <v>227</v>
      </c>
      <c r="C84" s="20" t="s">
        <v>228</v>
      </c>
      <c r="D84" s="19" t="s">
        <v>229</v>
      </c>
    </row>
    <row r="85" spans="1:9">
      <c r="A85" s="18" t="s">
        <v>46</v>
      </c>
      <c r="B85" s="19" t="s">
        <v>230</v>
      </c>
      <c r="C85" s="20" t="s">
        <v>231</v>
      </c>
      <c r="D85" s="19" t="s">
        <v>232</v>
      </c>
    </row>
    <row r="86" spans="1:9">
      <c r="A86" s="18" t="s">
        <v>46</v>
      </c>
      <c r="B86" s="19" t="s">
        <v>224</v>
      </c>
      <c r="C86" s="20" t="s">
        <v>225</v>
      </c>
      <c r="D86" s="19" t="s">
        <v>226</v>
      </c>
    </row>
    <row r="87" spans="1:9">
      <c r="A87" s="18" t="s">
        <v>47</v>
      </c>
      <c r="B87" s="19" t="s">
        <v>233</v>
      </c>
      <c r="C87" s="20" t="s">
        <v>234</v>
      </c>
      <c r="D87" s="19" t="s">
        <v>235</v>
      </c>
      <c r="G87" s="6"/>
      <c r="H87" s="6"/>
      <c r="I87" s="6"/>
    </row>
    <row r="88" spans="1:9">
      <c r="A88" s="18" t="s">
        <v>47</v>
      </c>
      <c r="B88" s="19" t="s">
        <v>294</v>
      </c>
      <c r="C88" s="20" t="s">
        <v>302</v>
      </c>
      <c r="D88" s="23" t="s">
        <v>519</v>
      </c>
      <c r="G88" s="6"/>
      <c r="H88" s="6"/>
      <c r="I88" s="6"/>
    </row>
    <row r="89" spans="1:9">
      <c r="A89" s="21" t="s">
        <v>47</v>
      </c>
      <c r="B89" s="19" t="s">
        <v>236</v>
      </c>
      <c r="C89" s="20" t="s">
        <v>237</v>
      </c>
      <c r="D89" s="19" t="s">
        <v>238</v>
      </c>
    </row>
    <row r="90" spans="1:9">
      <c r="A90" s="18" t="s">
        <v>46</v>
      </c>
      <c r="B90" s="19" t="s">
        <v>290</v>
      </c>
      <c r="C90" s="20" t="s">
        <v>291</v>
      </c>
      <c r="D90" s="19" t="s">
        <v>293</v>
      </c>
    </row>
    <row r="91" spans="1:9">
      <c r="A91" s="18" t="s">
        <v>46</v>
      </c>
      <c r="B91" s="19" t="s">
        <v>239</v>
      </c>
      <c r="C91" s="20" t="s">
        <v>240</v>
      </c>
      <c r="D91" s="19" t="s">
        <v>241</v>
      </c>
    </row>
    <row r="92" spans="1:9">
      <c r="A92" s="18" t="s">
        <v>46</v>
      </c>
      <c r="B92" s="19" t="s">
        <v>298</v>
      </c>
      <c r="C92" s="20" t="s">
        <v>299</v>
      </c>
      <c r="D92" s="22" t="s">
        <v>108</v>
      </c>
    </row>
    <row r="93" spans="1:9">
      <c r="A93" s="18" t="s">
        <v>46</v>
      </c>
      <c r="B93" s="19" t="s">
        <v>242</v>
      </c>
      <c r="C93" s="20" t="s">
        <v>243</v>
      </c>
      <c r="D93" s="19" t="s">
        <v>244</v>
      </c>
    </row>
    <row r="94" spans="1:9">
      <c r="A94" s="18" t="s">
        <v>46</v>
      </c>
      <c r="B94" s="19" t="s">
        <v>245</v>
      </c>
      <c r="C94" s="20" t="s">
        <v>246</v>
      </c>
      <c r="D94" s="19" t="s">
        <v>247</v>
      </c>
    </row>
    <row r="95" spans="1:9">
      <c r="A95" s="18" t="s">
        <v>46</v>
      </c>
      <c r="B95" s="19" t="s">
        <v>248</v>
      </c>
      <c r="C95" s="20" t="s">
        <v>249</v>
      </c>
      <c r="D95" s="19" t="s">
        <v>250</v>
      </c>
    </row>
    <row r="96" spans="1:9">
      <c r="A96" s="18" t="s">
        <v>46</v>
      </c>
      <c r="B96" s="19" t="s">
        <v>295</v>
      </c>
      <c r="C96" s="20" t="s">
        <v>300</v>
      </c>
      <c r="D96" s="22" t="s">
        <v>108</v>
      </c>
    </row>
    <row r="97" spans="1:4">
      <c r="A97" s="18" t="s">
        <v>46</v>
      </c>
      <c r="B97" s="19" t="s">
        <v>251</v>
      </c>
      <c r="C97" s="20" t="s">
        <v>252</v>
      </c>
      <c r="D97" s="19" t="s">
        <v>253</v>
      </c>
    </row>
    <row r="98" spans="1:4">
      <c r="A98" s="18" t="s">
        <v>46</v>
      </c>
      <c r="B98" s="19" t="s">
        <v>312</v>
      </c>
      <c r="C98" s="20" t="s">
        <v>313</v>
      </c>
      <c r="D98" s="22" t="s">
        <v>108</v>
      </c>
    </row>
    <row r="99" spans="1:4">
      <c r="A99" s="18" t="s">
        <v>46</v>
      </c>
      <c r="B99" s="19" t="s">
        <v>254</v>
      </c>
      <c r="C99" s="20" t="s">
        <v>255</v>
      </c>
      <c r="D99" s="19" t="s">
        <v>256</v>
      </c>
    </row>
    <row r="100" spans="1:4">
      <c r="A100" s="18" t="s">
        <v>46</v>
      </c>
      <c r="B100" s="19" t="s">
        <v>257</v>
      </c>
      <c r="C100" s="20" t="s">
        <v>258</v>
      </c>
      <c r="D100" s="19" t="s">
        <v>259</v>
      </c>
    </row>
    <row r="101" spans="1:4">
      <c r="A101" s="18" t="s">
        <v>46</v>
      </c>
      <c r="B101" s="19" t="s">
        <v>260</v>
      </c>
      <c r="C101" s="20" t="s">
        <v>261</v>
      </c>
      <c r="D101" s="19" t="s">
        <v>262</v>
      </c>
    </row>
    <row r="102" spans="1:4">
      <c r="A102" s="18" t="s">
        <v>46</v>
      </c>
      <c r="B102" s="19" t="s">
        <v>297</v>
      </c>
      <c r="C102" s="20" t="s">
        <v>301</v>
      </c>
      <c r="D102" s="22" t="s">
        <v>108</v>
      </c>
    </row>
    <row r="103" spans="1:4">
      <c r="A103" s="18" t="s">
        <v>46</v>
      </c>
      <c r="B103" s="19" t="s">
        <v>263</v>
      </c>
      <c r="C103" s="20" t="s">
        <v>264</v>
      </c>
      <c r="D103" s="19" t="s">
        <v>265</v>
      </c>
    </row>
    <row r="104" spans="1:4">
      <c r="A104" s="18" t="s">
        <v>46</v>
      </c>
      <c r="B104" s="19" t="s">
        <v>266</v>
      </c>
      <c r="C104" s="20" t="s">
        <v>267</v>
      </c>
      <c r="D104" s="19" t="s">
        <v>268</v>
      </c>
    </row>
    <row r="105" spans="1:4">
      <c r="A105" s="18" t="s">
        <v>46</v>
      </c>
      <c r="B105" s="19" t="s">
        <v>306</v>
      </c>
      <c r="C105" s="20" t="s">
        <v>307</v>
      </c>
      <c r="D105" s="22" t="s">
        <v>108</v>
      </c>
    </row>
    <row r="106" spans="1:4">
      <c r="A106" s="18" t="s">
        <v>46</v>
      </c>
      <c r="B106" s="19" t="s">
        <v>269</v>
      </c>
      <c r="C106" s="20" t="s">
        <v>270</v>
      </c>
      <c r="D106" s="19" t="s">
        <v>271</v>
      </c>
    </row>
    <row r="107" spans="1:4">
      <c r="A107" s="18" t="s">
        <v>46</v>
      </c>
      <c r="B107" s="19" t="s">
        <v>162</v>
      </c>
      <c r="C107" s="20" t="s">
        <v>167</v>
      </c>
      <c r="D107" s="19" t="s">
        <v>292</v>
      </c>
    </row>
    <row r="108" spans="1:4">
      <c r="A108" s="18" t="s">
        <v>46</v>
      </c>
      <c r="B108" s="19" t="s">
        <v>309</v>
      </c>
      <c r="C108" s="20" t="s">
        <v>311</v>
      </c>
      <c r="D108" s="22" t="s">
        <v>108</v>
      </c>
    </row>
    <row r="109" spans="1:4">
      <c r="A109" s="18" t="s">
        <v>46</v>
      </c>
      <c r="B109" s="19" t="s">
        <v>308</v>
      </c>
      <c r="C109" s="20" t="s">
        <v>310</v>
      </c>
      <c r="D109" s="22" t="s">
        <v>108</v>
      </c>
    </row>
    <row r="110" spans="1:4">
      <c r="A110" s="18" t="s">
        <v>46</v>
      </c>
      <c r="B110" s="19" t="s">
        <v>272</v>
      </c>
      <c r="C110" s="20" t="s">
        <v>273</v>
      </c>
      <c r="D110" s="19" t="s">
        <v>274</v>
      </c>
    </row>
    <row r="111" spans="1:4">
      <c r="A111" s="18" t="s">
        <v>46</v>
      </c>
      <c r="B111" s="19" t="s">
        <v>275</v>
      </c>
      <c r="C111" s="20" t="s">
        <v>276</v>
      </c>
      <c r="D111" s="19" t="s">
        <v>277</v>
      </c>
    </row>
    <row r="112" spans="1:4">
      <c r="A112" s="18" t="s">
        <v>46</v>
      </c>
      <c r="B112" s="19" t="s">
        <v>278</v>
      </c>
      <c r="C112" s="20" t="s">
        <v>279</v>
      </c>
      <c r="D112" s="19" t="s">
        <v>280</v>
      </c>
    </row>
    <row r="113" spans="1:4">
      <c r="A113" s="18" t="s">
        <v>46</v>
      </c>
      <c r="B113" s="19" t="s">
        <v>281</v>
      </c>
      <c r="C113" s="20" t="s">
        <v>282</v>
      </c>
      <c r="D113" s="19" t="s">
        <v>283</v>
      </c>
    </row>
    <row r="114" spans="1:4">
      <c r="A114" s="18" t="s">
        <v>46</v>
      </c>
      <c r="B114" s="19" t="s">
        <v>284</v>
      </c>
      <c r="C114" s="20" t="s">
        <v>285</v>
      </c>
      <c r="D114" s="19" t="s">
        <v>286</v>
      </c>
    </row>
    <row r="115" spans="1:4">
      <c r="A115" s="18" t="s">
        <v>46</v>
      </c>
      <c r="B115" s="19" t="s">
        <v>287</v>
      </c>
      <c r="C115" s="20" t="s">
        <v>288</v>
      </c>
      <c r="D115" s="19" t="s">
        <v>289</v>
      </c>
    </row>
    <row r="116" spans="1:4">
      <c r="A116" s="7" t="s">
        <v>376</v>
      </c>
    </row>
    <row r="117" spans="1:4">
      <c r="A117" s="4" t="s">
        <v>2</v>
      </c>
      <c r="B117" s="4" t="s">
        <v>3</v>
      </c>
      <c r="C117" s="4" t="s">
        <v>4</v>
      </c>
      <c r="D117" s="4" t="s">
        <v>7</v>
      </c>
    </row>
    <row r="118" spans="1:4">
      <c r="A118" s="18" t="s">
        <v>47</v>
      </c>
      <c r="B118" s="19" t="s">
        <v>377</v>
      </c>
      <c r="C118" s="20" t="s">
        <v>378</v>
      </c>
      <c r="D118" s="19" t="s">
        <v>379</v>
      </c>
    </row>
    <row r="119" spans="1:4">
      <c r="A119" s="18" t="s">
        <v>47</v>
      </c>
      <c r="B119" s="19" t="s">
        <v>380</v>
      </c>
      <c r="C119" s="20" t="s">
        <v>381</v>
      </c>
      <c r="D119" s="19" t="s">
        <v>382</v>
      </c>
    </row>
    <row r="120" spans="1:4">
      <c r="A120" s="18" t="s">
        <v>47</v>
      </c>
      <c r="B120" s="19" t="s">
        <v>505</v>
      </c>
      <c r="C120" s="20" t="s">
        <v>506</v>
      </c>
      <c r="D120" s="19" t="s">
        <v>507</v>
      </c>
    </row>
    <row r="121" spans="1:4">
      <c r="A121" s="18" t="s">
        <v>47</v>
      </c>
      <c r="B121" s="19" t="s">
        <v>383</v>
      </c>
      <c r="C121" s="20" t="s">
        <v>384</v>
      </c>
      <c r="D121" s="19" t="s">
        <v>385</v>
      </c>
    </row>
    <row r="122" spans="1:4">
      <c r="A122" s="18" t="s">
        <v>47</v>
      </c>
      <c r="B122" s="19" t="s">
        <v>469</v>
      </c>
      <c r="C122" s="20" t="s">
        <v>470</v>
      </c>
      <c r="D122" s="19" t="s">
        <v>471</v>
      </c>
    </row>
    <row r="123" spans="1:4">
      <c r="A123" s="18" t="s">
        <v>47</v>
      </c>
      <c r="B123" s="19" t="s">
        <v>386</v>
      </c>
      <c r="C123" s="20" t="s">
        <v>387</v>
      </c>
      <c r="D123" s="19" t="s">
        <v>388</v>
      </c>
    </row>
    <row r="124" spans="1:4">
      <c r="A124" s="18" t="s">
        <v>47</v>
      </c>
      <c r="B124" s="19" t="s">
        <v>472</v>
      </c>
      <c r="C124" s="20" t="s">
        <v>473</v>
      </c>
      <c r="D124" s="19" t="s">
        <v>474</v>
      </c>
    </row>
    <row r="125" spans="1:4">
      <c r="A125" s="18" t="s">
        <v>47</v>
      </c>
      <c r="B125" s="19" t="s">
        <v>389</v>
      </c>
      <c r="C125" s="20" t="s">
        <v>390</v>
      </c>
      <c r="D125" s="19" t="s">
        <v>508</v>
      </c>
    </row>
    <row r="126" spans="1:4">
      <c r="A126" s="18" t="s">
        <v>47</v>
      </c>
      <c r="B126" s="19" t="s">
        <v>475</v>
      </c>
      <c r="C126" s="20" t="s">
        <v>476</v>
      </c>
      <c r="D126" s="19" t="s">
        <v>477</v>
      </c>
    </row>
    <row r="127" spans="1:4">
      <c r="A127" s="18" t="s">
        <v>47</v>
      </c>
      <c r="B127" s="19" t="s">
        <v>478</v>
      </c>
      <c r="C127" s="20" t="s">
        <v>479</v>
      </c>
      <c r="D127" s="19" t="s">
        <v>480</v>
      </c>
    </row>
    <row r="128" spans="1:4">
      <c r="A128" s="18" t="s">
        <v>47</v>
      </c>
      <c r="B128" s="19" t="s">
        <v>481</v>
      </c>
      <c r="C128" s="20" t="s">
        <v>482</v>
      </c>
      <c r="D128" s="19" t="s">
        <v>483</v>
      </c>
    </row>
    <row r="129" spans="1:4">
      <c r="A129" s="18" t="s">
        <v>47</v>
      </c>
      <c r="B129" s="19" t="s">
        <v>391</v>
      </c>
      <c r="C129" s="20" t="s">
        <v>392</v>
      </c>
      <c r="D129" s="19" t="s">
        <v>393</v>
      </c>
    </row>
    <row r="130" spans="1:4">
      <c r="A130" s="18" t="s">
        <v>47</v>
      </c>
      <c r="B130" s="19" t="s">
        <v>394</v>
      </c>
      <c r="C130" s="20" t="s">
        <v>395</v>
      </c>
      <c r="D130" s="19" t="s">
        <v>396</v>
      </c>
    </row>
    <row r="131" spans="1:4">
      <c r="A131" s="18" t="s">
        <v>47</v>
      </c>
      <c r="B131" s="19" t="s">
        <v>397</v>
      </c>
      <c r="C131" s="20" t="s">
        <v>398</v>
      </c>
      <c r="D131" s="19" t="s">
        <v>399</v>
      </c>
    </row>
    <row r="132" spans="1:4">
      <c r="A132" s="18" t="s">
        <v>47</v>
      </c>
      <c r="B132" s="19" t="s">
        <v>400</v>
      </c>
      <c r="C132" s="20" t="s">
        <v>401</v>
      </c>
      <c r="D132" s="19" t="s">
        <v>402</v>
      </c>
    </row>
    <row r="133" spans="1:4">
      <c r="A133" s="18" t="s">
        <v>47</v>
      </c>
      <c r="B133" s="19" t="s">
        <v>403</v>
      </c>
      <c r="C133" s="20" t="s">
        <v>404</v>
      </c>
      <c r="D133" s="19" t="s">
        <v>405</v>
      </c>
    </row>
    <row r="134" spans="1:4">
      <c r="A134" s="18" t="s">
        <v>47</v>
      </c>
      <c r="B134" s="19" t="s">
        <v>406</v>
      </c>
      <c r="C134" s="20" t="s">
        <v>407</v>
      </c>
      <c r="D134" s="19" t="s">
        <v>408</v>
      </c>
    </row>
    <row r="135" spans="1:4">
      <c r="A135" s="18" t="s">
        <v>47</v>
      </c>
      <c r="B135" s="19" t="s">
        <v>409</v>
      </c>
      <c r="C135" s="20" t="s">
        <v>410</v>
      </c>
      <c r="D135" s="19" t="s">
        <v>411</v>
      </c>
    </row>
    <row r="136" spans="1:4">
      <c r="A136" s="18" t="s">
        <v>47</v>
      </c>
      <c r="B136" s="19" t="s">
        <v>484</v>
      </c>
      <c r="C136" s="20" t="s">
        <v>485</v>
      </c>
      <c r="D136" s="19" t="s">
        <v>486</v>
      </c>
    </row>
    <row r="137" spans="1:4">
      <c r="A137" s="18" t="s">
        <v>46</v>
      </c>
      <c r="B137" s="19" t="s">
        <v>412</v>
      </c>
      <c r="C137" s="20" t="s">
        <v>413</v>
      </c>
      <c r="D137" s="19" t="s">
        <v>414</v>
      </c>
    </row>
    <row r="138" spans="1:4">
      <c r="A138" s="18" t="s">
        <v>47</v>
      </c>
      <c r="B138" s="19" t="s">
        <v>415</v>
      </c>
      <c r="C138" s="20" t="s">
        <v>416</v>
      </c>
      <c r="D138" s="19" t="s">
        <v>417</v>
      </c>
    </row>
    <row r="139" spans="1:4">
      <c r="A139" s="18" t="s">
        <v>47</v>
      </c>
      <c r="B139" s="19" t="s">
        <v>418</v>
      </c>
      <c r="C139" s="20" t="s">
        <v>419</v>
      </c>
      <c r="D139" s="19" t="s">
        <v>420</v>
      </c>
    </row>
    <row r="140" spans="1:4">
      <c r="A140" s="18" t="s">
        <v>47</v>
      </c>
      <c r="B140" s="19" t="s">
        <v>487</v>
      </c>
      <c r="C140" s="20" t="s">
        <v>488</v>
      </c>
      <c r="D140" s="19" t="s">
        <v>489</v>
      </c>
    </row>
    <row r="141" spans="1:4">
      <c r="A141" s="18" t="s">
        <v>47</v>
      </c>
      <c r="B141" s="19" t="s">
        <v>421</v>
      </c>
      <c r="C141" s="20" t="s">
        <v>422</v>
      </c>
      <c r="D141" s="19" t="s">
        <v>423</v>
      </c>
    </row>
    <row r="142" spans="1:4">
      <c r="A142" s="18" t="s">
        <v>47</v>
      </c>
      <c r="B142" s="19" t="s">
        <v>424</v>
      </c>
      <c r="C142" s="20" t="s">
        <v>425</v>
      </c>
      <c r="D142" s="19" t="s">
        <v>426</v>
      </c>
    </row>
    <row r="143" spans="1:4">
      <c r="A143" s="18" t="s">
        <v>47</v>
      </c>
      <c r="B143" s="19" t="s">
        <v>427</v>
      </c>
      <c r="C143" s="20" t="s">
        <v>428</v>
      </c>
      <c r="D143" s="19" t="s">
        <v>429</v>
      </c>
    </row>
    <row r="144" spans="1:4">
      <c r="A144" s="18" t="s">
        <v>47</v>
      </c>
      <c r="B144" s="19" t="s">
        <v>430</v>
      </c>
      <c r="C144" s="20" t="s">
        <v>431</v>
      </c>
      <c r="D144" s="19" t="s">
        <v>432</v>
      </c>
    </row>
    <row r="145" spans="1:4">
      <c r="A145" s="18" t="s">
        <v>47</v>
      </c>
      <c r="B145" s="19" t="s">
        <v>490</v>
      </c>
      <c r="C145" s="20" t="s">
        <v>491</v>
      </c>
      <c r="D145" s="19" t="s">
        <v>492</v>
      </c>
    </row>
    <row r="146" spans="1:4">
      <c r="A146" s="18" t="s">
        <v>47</v>
      </c>
      <c r="B146" s="19" t="s">
        <v>493</v>
      </c>
      <c r="C146" s="20" t="s">
        <v>494</v>
      </c>
      <c r="D146" s="19" t="s">
        <v>495</v>
      </c>
    </row>
    <row r="147" spans="1:4">
      <c r="A147" s="18" t="s">
        <v>47</v>
      </c>
      <c r="B147" s="19" t="s">
        <v>496</v>
      </c>
      <c r="C147" s="20" t="s">
        <v>497</v>
      </c>
      <c r="D147" s="19" t="s">
        <v>498</v>
      </c>
    </row>
    <row r="148" spans="1:4">
      <c r="A148" s="18" t="s">
        <v>47</v>
      </c>
      <c r="B148" s="19" t="s">
        <v>433</v>
      </c>
      <c r="C148" s="20" t="s">
        <v>434</v>
      </c>
      <c r="D148" s="19" t="s">
        <v>435</v>
      </c>
    </row>
    <row r="149" spans="1:4">
      <c r="A149" s="18" t="s">
        <v>47</v>
      </c>
      <c r="B149" s="19" t="s">
        <v>436</v>
      </c>
      <c r="C149" s="20" t="s">
        <v>437</v>
      </c>
      <c r="D149" s="19" t="s">
        <v>438</v>
      </c>
    </row>
    <row r="150" spans="1:4">
      <c r="A150" s="18" t="s">
        <v>47</v>
      </c>
      <c r="B150" s="19" t="s">
        <v>439</v>
      </c>
      <c r="C150" s="20" t="s">
        <v>440</v>
      </c>
      <c r="D150" s="19" t="s">
        <v>441</v>
      </c>
    </row>
    <row r="151" spans="1:4">
      <c r="A151" s="18" t="s">
        <v>47</v>
      </c>
      <c r="B151" s="19" t="s">
        <v>499</v>
      </c>
      <c r="C151" s="20" t="s">
        <v>500</v>
      </c>
      <c r="D151" s="19" t="s">
        <v>501</v>
      </c>
    </row>
    <row r="152" spans="1:4">
      <c r="A152" s="18" t="s">
        <v>47</v>
      </c>
      <c r="B152" s="19" t="s">
        <v>442</v>
      </c>
      <c r="C152" s="20" t="s">
        <v>443</v>
      </c>
      <c r="D152" s="19" t="s">
        <v>444</v>
      </c>
    </row>
    <row r="153" spans="1:4">
      <c r="A153" s="18" t="s">
        <v>47</v>
      </c>
      <c r="B153" s="19" t="s">
        <v>445</v>
      </c>
      <c r="C153" s="20" t="s">
        <v>446</v>
      </c>
      <c r="D153" s="19" t="s">
        <v>447</v>
      </c>
    </row>
    <row r="154" spans="1:4">
      <c r="A154" s="18" t="s">
        <v>47</v>
      </c>
      <c r="B154" s="19" t="s">
        <v>448</v>
      </c>
      <c r="C154" s="20" t="s">
        <v>449</v>
      </c>
      <c r="D154" s="19" t="s">
        <v>450</v>
      </c>
    </row>
    <row r="155" spans="1:4">
      <c r="A155" s="18" t="s">
        <v>47</v>
      </c>
      <c r="B155" s="19" t="s">
        <v>451</v>
      </c>
      <c r="C155" s="20" t="s">
        <v>452</v>
      </c>
      <c r="D155" s="19" t="s">
        <v>453</v>
      </c>
    </row>
    <row r="156" spans="1:4">
      <c r="A156" s="18" t="s">
        <v>46</v>
      </c>
      <c r="B156" s="19" t="s">
        <v>454</v>
      </c>
      <c r="C156" s="20" t="s">
        <v>455</v>
      </c>
      <c r="D156" s="19" t="s">
        <v>456</v>
      </c>
    </row>
    <row r="157" spans="1:4">
      <c r="A157" s="18" t="s">
        <v>46</v>
      </c>
      <c r="B157" s="19" t="s">
        <v>457</v>
      </c>
      <c r="C157" s="20" t="s">
        <v>458</v>
      </c>
      <c r="D157" s="19" t="s">
        <v>459</v>
      </c>
    </row>
    <row r="158" spans="1:4">
      <c r="A158" s="18" t="s">
        <v>47</v>
      </c>
      <c r="B158" s="19" t="s">
        <v>460</v>
      </c>
      <c r="C158" s="20" t="s">
        <v>461</v>
      </c>
      <c r="D158" s="19" t="s">
        <v>462</v>
      </c>
    </row>
    <row r="159" spans="1:4">
      <c r="A159" s="18" t="s">
        <v>47</v>
      </c>
      <c r="B159" s="19" t="s">
        <v>463</v>
      </c>
      <c r="C159" s="20" t="s">
        <v>464</v>
      </c>
      <c r="D159" s="19" t="s">
        <v>465</v>
      </c>
    </row>
    <row r="160" spans="1:4">
      <c r="A160" s="18" t="s">
        <v>47</v>
      </c>
      <c r="B160" s="19" t="s">
        <v>502</v>
      </c>
      <c r="C160" s="20" t="s">
        <v>503</v>
      </c>
      <c r="D160" s="19" t="s">
        <v>504</v>
      </c>
    </row>
    <row r="161" spans="1:4">
      <c r="A161" s="18" t="s">
        <v>47</v>
      </c>
      <c r="B161" s="19" t="s">
        <v>466</v>
      </c>
      <c r="C161" s="20" t="s">
        <v>467</v>
      </c>
      <c r="D161" s="19" t="s">
        <v>468</v>
      </c>
    </row>
    <row r="162" spans="1:4">
      <c r="A162" s="7" t="s">
        <v>318</v>
      </c>
    </row>
    <row r="163" spans="1:4">
      <c r="A163" s="9" t="s">
        <v>2</v>
      </c>
      <c r="B163" s="9" t="s">
        <v>3</v>
      </c>
      <c r="C163" s="9" t="s">
        <v>4</v>
      </c>
      <c r="D163" s="9" t="s">
        <v>7</v>
      </c>
    </row>
    <row r="164" spans="1:4">
      <c r="A164" s="18" t="s">
        <v>47</v>
      </c>
      <c r="B164" s="19" t="s">
        <v>319</v>
      </c>
      <c r="C164" s="20" t="s">
        <v>320</v>
      </c>
      <c r="D164" s="19" t="s">
        <v>321</v>
      </c>
    </row>
    <row r="165" spans="1:4">
      <c r="A165" s="18" t="s">
        <v>47</v>
      </c>
      <c r="B165" s="19" t="s">
        <v>322</v>
      </c>
      <c r="C165" s="20" t="s">
        <v>323</v>
      </c>
      <c r="D165" s="19" t="s">
        <v>324</v>
      </c>
    </row>
    <row r="166" spans="1:4">
      <c r="A166" s="18" t="s">
        <v>47</v>
      </c>
      <c r="B166" s="19" t="s">
        <v>325</v>
      </c>
      <c r="C166" s="20" t="s">
        <v>326</v>
      </c>
      <c r="D166" s="19" t="s">
        <v>327</v>
      </c>
    </row>
    <row r="167" spans="1:4">
      <c r="A167" s="18" t="s">
        <v>46</v>
      </c>
      <c r="B167" s="19" t="s">
        <v>328</v>
      </c>
      <c r="C167" s="20" t="s">
        <v>329</v>
      </c>
      <c r="D167" s="19" t="s">
        <v>330</v>
      </c>
    </row>
    <row r="168" spans="1:4">
      <c r="A168" s="18" t="s">
        <v>46</v>
      </c>
      <c r="B168" s="19" t="s">
        <v>331</v>
      </c>
      <c r="C168" s="20" t="s">
        <v>332</v>
      </c>
      <c r="D168" s="19" t="s">
        <v>333</v>
      </c>
    </row>
    <row r="169" spans="1:4">
      <c r="A169" s="18" t="s">
        <v>46</v>
      </c>
      <c r="B169" s="19" t="s">
        <v>334</v>
      </c>
      <c r="C169" s="20" t="s">
        <v>335</v>
      </c>
      <c r="D169" s="19" t="s">
        <v>336</v>
      </c>
    </row>
    <row r="170" spans="1:4">
      <c r="A170" s="18" t="s">
        <v>46</v>
      </c>
      <c r="B170" s="19" t="s">
        <v>337</v>
      </c>
      <c r="C170" s="20" t="s">
        <v>338</v>
      </c>
      <c r="D170" s="19" t="s">
        <v>339</v>
      </c>
    </row>
    <row r="171" spans="1:4">
      <c r="A171" s="18" t="s">
        <v>46</v>
      </c>
      <c r="B171" s="19" t="s">
        <v>340</v>
      </c>
      <c r="C171" s="20" t="s">
        <v>341</v>
      </c>
      <c r="D171" s="19" t="s">
        <v>342</v>
      </c>
    </row>
    <row r="172" spans="1:4">
      <c r="A172" s="18" t="s">
        <v>46</v>
      </c>
      <c r="B172" s="19" t="s">
        <v>343</v>
      </c>
      <c r="C172" s="20" t="s">
        <v>344</v>
      </c>
      <c r="D172" s="19" t="s">
        <v>345</v>
      </c>
    </row>
    <row r="173" spans="1:4">
      <c r="A173" s="18" t="s">
        <v>46</v>
      </c>
      <c r="B173" s="19" t="s">
        <v>346</v>
      </c>
      <c r="C173" s="20" t="s">
        <v>347</v>
      </c>
      <c r="D173" s="19" t="s">
        <v>348</v>
      </c>
    </row>
    <row r="174" spans="1:4">
      <c r="A174" s="18" t="s">
        <v>47</v>
      </c>
      <c r="B174" s="19" t="s">
        <v>349</v>
      </c>
      <c r="C174" s="20" t="s">
        <v>350</v>
      </c>
      <c r="D174" s="19" t="s">
        <v>351</v>
      </c>
    </row>
    <row r="175" spans="1:4">
      <c r="A175" s="18" t="s">
        <v>47</v>
      </c>
      <c r="B175" s="19" t="s">
        <v>352</v>
      </c>
      <c r="C175" s="20" t="s">
        <v>353</v>
      </c>
      <c r="D175" s="19" t="s">
        <v>354</v>
      </c>
    </row>
    <row r="176" spans="1:4">
      <c r="A176" s="18" t="s">
        <v>47</v>
      </c>
      <c r="B176" s="19" t="s">
        <v>355</v>
      </c>
      <c r="C176" s="20" t="s">
        <v>356</v>
      </c>
      <c r="D176" s="19" t="s">
        <v>357</v>
      </c>
    </row>
    <row r="177" spans="1:4">
      <c r="A177" s="18" t="s">
        <v>46</v>
      </c>
      <c r="B177" s="19" t="s">
        <v>358</v>
      </c>
      <c r="C177" s="20" t="s">
        <v>359</v>
      </c>
      <c r="D177" s="19" t="s">
        <v>360</v>
      </c>
    </row>
    <row r="178" spans="1:4">
      <c r="A178" s="18" t="s">
        <v>47</v>
      </c>
      <c r="B178" s="19" t="s">
        <v>361</v>
      </c>
      <c r="C178" s="20" t="s">
        <v>362</v>
      </c>
      <c r="D178" s="19" t="s">
        <v>363</v>
      </c>
    </row>
    <row r="179" spans="1:4">
      <c r="A179" s="18" t="s">
        <v>46</v>
      </c>
      <c r="B179" s="19" t="s">
        <v>364</v>
      </c>
      <c r="C179" s="20" t="s">
        <v>365</v>
      </c>
      <c r="D179" s="19" t="s">
        <v>366</v>
      </c>
    </row>
    <row r="180" spans="1:4">
      <c r="A180" s="18" t="s">
        <v>46</v>
      </c>
      <c r="B180" s="19" t="s">
        <v>367</v>
      </c>
      <c r="C180" s="20" t="s">
        <v>368</v>
      </c>
      <c r="D180" s="19" t="s">
        <v>369</v>
      </c>
    </row>
    <row r="181" spans="1:4">
      <c r="A181" s="18" t="s">
        <v>47</v>
      </c>
      <c r="B181" s="19" t="s">
        <v>370</v>
      </c>
      <c r="C181" s="20" t="s">
        <v>371</v>
      </c>
      <c r="D181" s="19" t="s">
        <v>372</v>
      </c>
    </row>
    <row r="182" spans="1:4">
      <c r="A182" s="18" t="s">
        <v>46</v>
      </c>
      <c r="B182" s="19" t="s">
        <v>373</v>
      </c>
      <c r="C182" s="20" t="s">
        <v>374</v>
      </c>
      <c r="D182" s="19" t="s">
        <v>375</v>
      </c>
    </row>
    <row r="183" spans="1:4">
      <c r="A183" s="18" t="s">
        <v>47</v>
      </c>
      <c r="B183" s="19" t="s">
        <v>520</v>
      </c>
      <c r="C183" s="20" t="s">
        <v>522</v>
      </c>
      <c r="D183" s="19" t="s">
        <v>521</v>
      </c>
    </row>
  </sheetData>
  <sortState xmlns:xlrd2="http://schemas.microsoft.com/office/spreadsheetml/2017/richdata2" ref="B118:D161">
    <sortCondition ref="B118:B161"/>
  </sortState>
  <conditionalFormatting sqref="A5:A17 A19:A71 A118:A161">
    <cfRule type="containsText" dxfId="6" priority="39" operator="containsText" text="Done">
      <formula>NOT(ISERROR(SEARCH("Done",A5)))</formula>
    </cfRule>
    <cfRule type="containsText" dxfId="5" priority="41" operator="containsText" text="To-Do">
      <formula>NOT(ISERROR(SEARCH("To-Do",A5)))</formula>
    </cfRule>
  </conditionalFormatting>
  <conditionalFormatting sqref="A74:A115">
    <cfRule type="containsText" dxfId="4" priority="17" operator="containsText" text="Done">
      <formula>NOT(ISERROR(SEARCH("Done",A74)))</formula>
    </cfRule>
    <cfRule type="containsText" dxfId="3" priority="18" operator="containsText" text="To-Do">
      <formula>NOT(ISERROR(SEARCH("To-Do",A74)))</formula>
    </cfRule>
  </conditionalFormatting>
  <conditionalFormatting sqref="A164:A183">
    <cfRule type="containsText" dxfId="2" priority="1" operator="containsText" text="Done">
      <formula>NOT(ISERROR(SEARCH("Done",A164)))</formula>
    </cfRule>
    <cfRule type="containsText" dxfId="1" priority="2" operator="containsText" text="To-Do">
      <formula>NOT(ISERROR(SEARCH("To-Do",A164)))</formula>
    </cfRule>
  </conditionalFormatting>
  <conditionalFormatting sqref="B19">
    <cfRule type="containsText" dxfId="0" priority="40" operator="containsText" text="Complete">
      <formula>NOT(ISERROR(SEARCH("Complete",B19)))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FA9396-6CCA-4AA1-8DFF-0C1F930ED14E}">
          <x14:formula1>
            <xm:f>data!$A$1:$A$2</xm:f>
          </x14:formula1>
          <xm:sqref>A5:A17 A74:A115 A118:A161 A164:A183 A20:A71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3B72-0494-46EB-9219-B9B0B4B19863}">
  <dimension ref="A1:A2"/>
  <sheetViews>
    <sheetView workbookViewId="0">
      <selection activeCell="C7" sqref="C7"/>
    </sheetView>
  </sheetViews>
  <sheetFormatPr defaultRowHeight="14.4"/>
  <cols>
    <col min="1" max="1" width="13" customWidth="1"/>
  </cols>
  <sheetData>
    <row r="1" spans="1:1">
      <c r="A1" t="s">
        <v>46</v>
      </c>
    </row>
    <row r="2" spans="1:1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achievements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blake</dc:creator>
  <cp:lastModifiedBy>noah blake</cp:lastModifiedBy>
  <dcterms:created xsi:type="dcterms:W3CDTF">2026-06-27T10:10:32Z</dcterms:created>
  <dcterms:modified xsi:type="dcterms:W3CDTF">2026-07-04T16:13:22Z</dcterms:modified>
</cp:coreProperties>
</file>